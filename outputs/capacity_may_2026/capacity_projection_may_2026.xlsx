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ce5d8e67e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b19c319182f491c"/>
    <x:sheet xmlns:r="http://schemas.openxmlformats.org/officeDocument/2006/relationships" name="Projecao_Diaria" sheetId="2" r:id="R8038d0b863694c6a"/>
    <x:sheet xmlns:r="http://schemas.openxmlformats.org/officeDocument/2006/relationships" name="Attrition_Mix" sheetId="3" r:id="R3bcbef3c0c9c4b06"/>
    <x:sheet xmlns:r="http://schemas.openxmlformats.org/officeDocument/2006/relationships" name="Historico_Mensal" sheetId="4" r:id="R767d5170499e47cd"/>
    <x:sheet xmlns:r="http://schemas.openxmlformats.org/officeDocument/2006/relationships" name="Premissas" sheetId="5" r:id="R870cadb52c8644f6"/>
    <x:sheet xmlns:r="http://schemas.openxmlformats.org/officeDocument/2006/relationships" name="Fonte_Dados" sheetId="6" r:id="Rf079cca32edf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"/>
    <x:numFmt numFmtId="202" formatCode="dd/mm/yyyy"/>
    <x:numFmt numFmtId="203" formatCode="@"/>
    <x:numFmt numFmtId="204" formatCode="0%"/>
    <x:numFmt numFmtId="205" formatCode="0.00"/>
  </x:numFmts>
  <x:fonts count="5">
    <x:font>
      <x:sz val="11"/>
      <x:name val="Carlito"/>
    </x:font>
    <x:font>
      <x:b/>
      <x:sz val="15"/>
      <x:color rgb="FFFFFF"/>
      <x:name val="Carlito"/>
    </x:font>
    <x:font>
      <x:i/>
      <x:sz val="11"/>
      <x:color rgb="19324D"/>
      <x:name val="Carlito"/>
    </x:font>
    <x:font>
      <x:b/>
      <x:sz val="11"/>
      <x:color rgb="FFFFFF"/>
      <x:name val="Carlito"/>
    </x:font>
    <x:font>
      <x:b/>
      <x:sz val="11"/>
      <x:color rgb="19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9324D"/>
      </x:patternFill>
    </x:fill>
    <x:fill>
      <x:patternFill patternType="solid">
        <x:fgColor rgb="EEF6F4"/>
      </x:patternFill>
    </x:fill>
    <x:fill>
      <x:patternFill patternType="solid">
        <x:fgColor rgb="2F5D62"/>
      </x:patternFill>
    </x:fill>
    <x:fill>
      <x:patternFill patternType="solid">
        <x:fgColor rgb="DDEFE8"/>
      </x:patternFill>
    </x:fill>
    <x:fill>
      <x:patternFill patternType="solid">
        <x:fgColor rgb="FFF7E6"/>
      </x:patternFill>
    </x:fill>
  </x:fills>
  <x:borders count="15">
    <x:border/>
    <x:border>
      <x:left style="thin">
        <x:color rgb="9CA3AF"/>
      </x:left>
      <x:top style="thin">
        <x:color rgb="9CA3AF"/>
      </x:top>
      <x:bottom style="thin">
        <x:color rgb="9CA3AF"/>
      </x:bottom>
    </x:border>
    <x:border>
      <x:top style="thin">
        <x:color rgb="9CA3AF"/>
      </x:top>
      <x:bottom style="thin">
        <x:color rgb="9CA3AF"/>
      </x:bottom>
    </x:border>
    <x:border>
      <x:right style="thin">
        <x:color rgb="9CA3AF"/>
      </x:right>
      <x:top style="thin">
        <x:color rgb="9CA3AF"/>
      </x:top>
      <x:bottom style="thin">
        <x:color rgb="9CA3AF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9CA3AF"/>
      </x:bottom>
    </x:border>
    <x:border>
      <x:top style="thin">
        <x:color rgb="CBD5E1"/>
      </x:top>
      <x:bottom style="thin">
        <x:color rgb="9CA3AF"/>
      </x:bottom>
    </x:border>
    <x:border>
      <x:right style="thin">
        <x:color rgb="CBD5E1"/>
      </x:right>
      <x:top style="thin">
        <x:color rgb="CBD5E1"/>
      </x:top>
      <x:bottom style="thin">
        <x:color rgb="9CA3A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4" fillId="5" borderId="10" xfId="0" applyNumberFormat="1" applyFont="1" applyFill="1" applyBorder="1"/>
    <x:xf numFmtId="201" fontId="0" fillId="0" borderId="5" xfId="0" applyNumberFormat="1" applyFont="1" applyFill="1" applyBorder="1"/>
    <x:xf numFmtId="201" fontId="0" fillId="0" borderId="0" xfId="0" applyNumberFormat="1" applyFont="1" applyFill="1" applyBorder="1"/>
    <x:xf numFmtId="201" fontId="4" fillId="5" borderId="10" xfId="0" applyNumberFormat="1" applyFont="1" applyFill="1" applyBorder="1"/>
    <x:xf numFmtId="202" fontId="0" fillId="0" borderId="0" xfId="0" applyNumberFormat="1" applyFont="1" applyFill="1" applyBorder="1"/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wrapText="1"/>
    </x:xf>
    <x:xf numFmtId="202" fontId="0" fillId="0" borderId="7" xfId="0" applyNumberFormat="1" applyFont="1" applyFill="1" applyBorder="1"/>
    <x:xf numFmtId="202" fontId="0" fillId="0" borderId="9" xfId="0" applyNumberFormat="1" applyFont="1" applyFill="1" applyBorder="1"/>
    <x:xf numFmtId="201" fontId="0" fillId="0" borderId="8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3" fontId="0" fillId="0" borderId="0" xfId="0" applyNumberFormat="1" applyFont="1" applyFill="1" applyBorder="1"/>
    <x:xf numFmtId="203" fontId="0" fillId="0" borderId="7" xfId="0" applyNumberFormat="1" applyFont="1" applyFill="1" applyBorder="1"/>
    <x:xf numFmtId="203" fontId="0" fillId="0" borderId="9" xfId="0" applyNumberFormat="1" applyFont="1" applyFill="1" applyBorder="1"/>
    <x:xf numFmtId="200" fontId="0" fillId="0" borderId="10" xfId="0" applyNumberFormat="1" applyFont="1" applyFill="1" applyBorder="1"/>
    <x:xf numFmtId="204" fontId="0" fillId="0" borderId="0" xfId="0" applyNumberFormat="1" applyFont="1" applyFill="1" applyBorder="1"/>
    <x:xf numFmtId="204" fontId="0" fillId="0" borderId="10" xfId="0" applyNumberFormat="1" applyFont="1" applyFill="1" applyBorder="1"/>
    <x:xf numFmtId="205" fontId="0" fillId="0" borderId="8" xfId="0" applyNumberFormat="1" applyFont="1" applyFill="1" applyBorder="1"/>
    <x:xf numFmtId="205" fontId="0" fillId="0" borderId="11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2" fontId="0" fillId="0" borderId="5" xfId="0" applyNumberFormat="1" applyFont="1" applyFill="1" applyBorder="1"/>
    <x:xf numFmtId="202" fontId="0" fillId="0" borderId="10" xfId="0" applyNumberFormat="1" applyFont="1" applyFill="1" applyBorder="1"/>
  </x:cellXfs>
  <x:cellStyles count="1">
    <x:cellStyle name="Normal" xfId="0"/>
  </x:cellStyles>
  <x:dxfs count="2">
    <x:dxf>
      <x:font>
        <x:b/>
        <x:color rgb="9C2F1A"/>
      </x:font>
      <x:fill>
        <x:patternFill patternType="solid">
          <x:bgColor rgb="FCE4D6"/>
        </x:patternFill>
      </x:fill>
    </x:dxf>
    <x:dxf>
      <x:font>
        <x:b/>
        <x:color rgb="9C2F1A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b8730c9b2496c" /><Relationship Type="http://schemas.openxmlformats.org/officeDocument/2006/relationships/theme" Target="/xl/theme/theme1.xml" Id="R88e17f86736a4ae1" /><Relationship Type="http://schemas.openxmlformats.org/officeDocument/2006/relationships/sharedStrings" Target="/xl/sharedStrings.xml" Id="R0171251453da42ba" /><Relationship Type="http://schemas.openxmlformats.org/officeDocument/2006/relationships/worksheet" Target="/xl/worksheets/sheet1.xml" Id="R8b19c319182f491c" /><Relationship Type="http://schemas.openxmlformats.org/officeDocument/2006/relationships/worksheet" Target="/xl/worksheets/sheet2.xml" Id="R8038d0b863694c6a" /><Relationship Type="http://schemas.openxmlformats.org/officeDocument/2006/relationships/worksheet" Target="/xl/worksheets/sheet3.xml" Id="R3bcbef3c0c9c4b06" /><Relationship Type="http://schemas.openxmlformats.org/officeDocument/2006/relationships/worksheet" Target="/xl/worksheets/sheet4.xml" Id="R767d5170499e47cd" /><Relationship Type="http://schemas.openxmlformats.org/officeDocument/2006/relationships/worksheet" Target="/xl/worksheets/sheet5.xml" Id="R870cadb52c8644f6" /><Relationship Type="http://schemas.openxmlformats.org/officeDocument/2006/relationships/worksheet" Target="/xl/worksheets/sheet6.xml" Id="Rf079cca32edf45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96e537ec9a47f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a8c535b41b349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HC projetado por LOB ate 31/05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ADS</c:v>
          </c:tx>
          <c:cat>
            <c:strLit>
              <c:ptCount val="15"/>
              <c:pt idx="0">
                <c:v>05-17</c:v>
              </c:pt>
              <c:pt idx="1">
                <c:v>05-18</c:v>
              </c:pt>
              <c:pt idx="2">
                <c:v>05-19</c:v>
              </c:pt>
              <c:pt idx="3">
                <c:v>05-20</c:v>
              </c:pt>
              <c:pt idx="4">
                <c:v>05-21</c:v>
              </c:pt>
              <c:pt idx="5">
                <c:v>05-22</c:v>
              </c:pt>
              <c:pt idx="6">
                <c:v>05-23</c:v>
              </c:pt>
              <c:pt idx="7">
                <c:v>05-24</c:v>
              </c:pt>
              <c:pt idx="8">
                <c:v>05-25</c:v>
              </c:pt>
              <c:pt idx="9">
                <c:v>05-26</c:v>
              </c:pt>
              <c:pt idx="10">
                <c:v>05-27</c:v>
              </c:pt>
              <c:pt idx="11">
                <c:v>05-28</c:v>
              </c:pt>
              <c:pt idx="12">
                <c:v>05-29</c:v>
              </c:pt>
              <c:pt idx="13">
                <c:v>05-30</c:v>
              </c:pt>
              <c:pt idx="14">
                <c:v>05-31</c:v>
              </c:pt>
            </c:strLit>
          </c:cat>
          <c:val>
            <c:numLit>
              <c:formatCode/>
              <c:ptCount val="15"/>
              <c:pt idx="0">
                <c:v>63</c:v>
              </c:pt>
              <c:pt idx="1">
                <c:v>62.61666666666667</c:v>
              </c:pt>
              <c:pt idx="2">
                <c:v>62.233333333333334</c:v>
              </c:pt>
              <c:pt idx="3">
                <c:v>61.85</c:v>
              </c:pt>
              <c:pt idx="4">
                <c:v>61.46666666666667</c:v>
              </c:pt>
              <c:pt idx="5">
                <c:v>61.083333333333336</c:v>
              </c:pt>
              <c:pt idx="6">
                <c:v>60.7</c:v>
              </c:pt>
              <c:pt idx="7">
                <c:v>60.31666666666666</c:v>
              </c:pt>
              <c:pt idx="8">
                <c:v>59.93333333333333</c:v>
              </c:pt>
              <c:pt idx="9">
                <c:v>59.55</c:v>
              </c:pt>
              <c:pt idx="10">
                <c:v>59.166666666666664</c:v>
              </c:pt>
              <c:pt idx="11">
                <c:v>58.78333333333333</c:v>
              </c:pt>
              <c:pt idx="12">
                <c:v>58.4</c:v>
              </c:pt>
              <c:pt idx="13">
                <c:v>58.016666666666666</c:v>
              </c:pt>
              <c:pt idx="14">
                <c:v>57.63333333333333</c:v>
              </c:pt>
            </c:numLit>
          </c:val>
          <c:smooth val="0"/>
        </c:ser>
        <c:ser>
          <c:idx val="1"/>
          <c:order val="1"/>
          <c:tx>
            <c:v>CEC</c:v>
          </c:tx>
          <c:cat>
            <c:strLit>
              <c:ptCount val="15"/>
              <c:pt idx="0">
                <c:v>05-17</c:v>
              </c:pt>
              <c:pt idx="1">
                <c:v>05-18</c:v>
              </c:pt>
              <c:pt idx="2">
                <c:v>05-19</c:v>
              </c:pt>
              <c:pt idx="3">
                <c:v>05-20</c:v>
              </c:pt>
              <c:pt idx="4">
                <c:v>05-21</c:v>
              </c:pt>
              <c:pt idx="5">
                <c:v>05-22</c:v>
              </c:pt>
              <c:pt idx="6">
                <c:v>05-23</c:v>
              </c:pt>
              <c:pt idx="7">
                <c:v>05-24</c:v>
              </c:pt>
              <c:pt idx="8">
                <c:v>05-25</c:v>
              </c:pt>
              <c:pt idx="9">
                <c:v>05-26</c:v>
              </c:pt>
              <c:pt idx="10">
                <c:v>05-27</c:v>
              </c:pt>
              <c:pt idx="11">
                <c:v>05-28</c:v>
              </c:pt>
              <c:pt idx="12">
                <c:v>05-29</c:v>
              </c:pt>
              <c:pt idx="13">
                <c:v>05-30</c:v>
              </c:pt>
              <c:pt idx="14">
                <c:v>05-31</c:v>
              </c:pt>
            </c:strLit>
          </c:cat>
          <c:val>
            <c:numLit>
              <c:formatCode/>
              <c:ptCount val="15"/>
              <c:pt idx="0">
                <c:v>25</c:v>
              </c:pt>
              <c:pt idx="1">
                <c:v>24.841666666666665</c:v>
              </c:pt>
              <c:pt idx="2">
                <c:v>24.683333333333334</c:v>
              </c:pt>
              <c:pt idx="3">
                <c:v>24.525</c:v>
              </c:pt>
              <c:pt idx="4">
                <c:v>24.366666666666667</c:v>
              </c:pt>
              <c:pt idx="5">
                <c:v>24.208333333333332</c:v>
              </c:pt>
              <c:pt idx="6">
                <c:v>24.05</c:v>
              </c:pt>
              <c:pt idx="7">
                <c:v>23.891666666666666</c:v>
              </c:pt>
              <c:pt idx="8">
                <c:v>23.733333333333334</c:v>
              </c:pt>
              <c:pt idx="9">
                <c:v>23.575</c:v>
              </c:pt>
              <c:pt idx="10">
                <c:v>23.416666666666668</c:v>
              </c:pt>
              <c:pt idx="11">
                <c:v>23.258333333333333</c:v>
              </c:pt>
              <c:pt idx="12">
                <c:v>23.1</c:v>
              </c:pt>
              <c:pt idx="13">
                <c:v>22.941666666666666</c:v>
              </c:pt>
              <c:pt idx="14">
                <c:v>22.78333333333333</c:v>
              </c:pt>
            </c:numLit>
          </c:val>
          <c:smooth val="0"/>
        </c:ser>
        <c:ser>
          <c:idx val="2"/>
          <c:order val="2"/>
          <c:tx>
            <c:v>Comments</c:v>
          </c:tx>
          <c:cat>
            <c:strLit>
              <c:ptCount val="15"/>
              <c:pt idx="0">
                <c:v>05-17</c:v>
              </c:pt>
              <c:pt idx="1">
                <c:v>05-18</c:v>
              </c:pt>
              <c:pt idx="2">
                <c:v>05-19</c:v>
              </c:pt>
              <c:pt idx="3">
                <c:v>05-20</c:v>
              </c:pt>
              <c:pt idx="4">
                <c:v>05-21</c:v>
              </c:pt>
              <c:pt idx="5">
                <c:v>05-22</c:v>
              </c:pt>
              <c:pt idx="6">
                <c:v>05-23</c:v>
              </c:pt>
              <c:pt idx="7">
                <c:v>05-24</c:v>
              </c:pt>
              <c:pt idx="8">
                <c:v>05-25</c:v>
              </c:pt>
              <c:pt idx="9">
                <c:v>05-26</c:v>
              </c:pt>
              <c:pt idx="10">
                <c:v>05-27</c:v>
              </c:pt>
              <c:pt idx="11">
                <c:v>05-28</c:v>
              </c:pt>
              <c:pt idx="12">
                <c:v>05-29</c:v>
              </c:pt>
              <c:pt idx="13">
                <c:v>05-30</c:v>
              </c:pt>
              <c:pt idx="14">
                <c:v>05-31</c:v>
              </c:pt>
            </c:strLit>
          </c:cat>
          <c:val>
            <c:numLit>
              <c:formatCode/>
              <c:ptCount val="15"/>
              <c:pt idx="0">
                <c:v>9</c:v>
              </c:pt>
              <c:pt idx="1">
                <c:v>8.991666666666667</c:v>
              </c:pt>
              <c:pt idx="2">
                <c:v>8.983333333333333</c:v>
              </c:pt>
              <c:pt idx="3">
                <c:v>8.975</c:v>
              </c:pt>
              <c:pt idx="4">
                <c:v>8.966666666666667</c:v>
              </c:pt>
              <c:pt idx="5">
                <c:v>8.958333333333334</c:v>
              </c:pt>
              <c:pt idx="6">
                <c:v>8.95</c:v>
              </c:pt>
              <c:pt idx="7">
                <c:v>8.941666666666666</c:v>
              </c:pt>
              <c:pt idx="8">
                <c:v>8.933333333333334</c:v>
              </c:pt>
              <c:pt idx="9">
                <c:v>8.925</c:v>
              </c:pt>
              <c:pt idx="10">
                <c:v>8.916666666666666</c:v>
              </c:pt>
              <c:pt idx="11">
                <c:v>8.908333333333333</c:v>
              </c:pt>
              <c:pt idx="12">
                <c:v>8.9</c:v>
              </c:pt>
              <c:pt idx="13">
                <c:v>8.891666666666667</c:v>
              </c:pt>
              <c:pt idx="14">
                <c:v>8.883333333333333</c:v>
              </c:pt>
            </c:numLit>
          </c:val>
          <c:smooth val="0"/>
        </c:ser>
        <c:ser>
          <c:idx val="3"/>
          <c:order val="3"/>
          <c:tx>
            <c:v>Video</c:v>
          </c:tx>
          <c:cat>
            <c:strLit>
              <c:ptCount val="15"/>
              <c:pt idx="0">
                <c:v>05-17</c:v>
              </c:pt>
              <c:pt idx="1">
                <c:v>05-18</c:v>
              </c:pt>
              <c:pt idx="2">
                <c:v>05-19</c:v>
              </c:pt>
              <c:pt idx="3">
                <c:v>05-20</c:v>
              </c:pt>
              <c:pt idx="4">
                <c:v>05-21</c:v>
              </c:pt>
              <c:pt idx="5">
                <c:v>05-22</c:v>
              </c:pt>
              <c:pt idx="6">
                <c:v>05-23</c:v>
              </c:pt>
              <c:pt idx="7">
                <c:v>05-24</c:v>
              </c:pt>
              <c:pt idx="8">
                <c:v>05-25</c:v>
              </c:pt>
              <c:pt idx="9">
                <c:v>05-26</c:v>
              </c:pt>
              <c:pt idx="10">
                <c:v>05-27</c:v>
              </c:pt>
              <c:pt idx="11">
                <c:v>05-28</c:v>
              </c:pt>
              <c:pt idx="12">
                <c:v>05-29</c:v>
              </c:pt>
              <c:pt idx="13">
                <c:v>05-30</c:v>
              </c:pt>
              <c:pt idx="14">
                <c:v>05-31</c:v>
              </c:pt>
            </c:strLit>
          </c:cat>
          <c:val>
            <c:numLit>
              <c:formatCode/>
              <c:ptCount val="15"/>
              <c:pt idx="0">
                <c:v>28</c:v>
              </c:pt>
              <c:pt idx="1">
                <c:v>27.85</c:v>
              </c:pt>
              <c:pt idx="2">
                <c:v>27.7</c:v>
              </c:pt>
              <c:pt idx="3">
                <c:v>27.55</c:v>
              </c:pt>
              <c:pt idx="4">
                <c:v>27.4</c:v>
              </c:pt>
              <c:pt idx="5">
                <c:v>27.25</c:v>
              </c:pt>
              <c:pt idx="6">
                <c:v>27.1</c:v>
              </c:pt>
              <c:pt idx="7">
                <c:v>26.95</c:v>
              </c:pt>
              <c:pt idx="8">
                <c:v>26.8</c:v>
              </c:pt>
              <c:pt idx="9">
                <c:v>26.65</c:v>
              </c:pt>
              <c:pt idx="10">
                <c:v>26.5</c:v>
              </c:pt>
              <c:pt idx="11">
                <c:v>26.35</c:v>
              </c:pt>
              <c:pt idx="12">
                <c:v>26.2</c:v>
              </c:pt>
              <c:pt idx="13">
                <c:v>26.05</c:v>
              </c:pt>
              <c:pt idx="14">
                <c:v>25.9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Desligamentos por mes e LOB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ADS</c:v>
          </c:tx>
          <c:cat>
            <c:strLit>
              <c:ptCount val="5"/>
              <c:pt idx="0">
                <c:v>2026-01</c:v>
              </c:pt>
              <c:pt idx="1">
                <c:v>2026-02</c:v>
              </c:pt>
              <c:pt idx="2">
                <c:v>2026-03</c:v>
              </c:pt>
              <c:pt idx="3">
                <c:v>2026-04</c:v>
              </c:pt>
              <c:pt idx="4">
                <c:v>2026-05</c:v>
              </c:pt>
            </c:strLit>
          </c:cat>
          <c:val>
            <c:numLit>
              <c:formatCode/>
              <c:ptCount val="5"/>
              <c:pt idx="0">
                <c:v>12</c:v>
              </c:pt>
              <c:pt idx="1">
                <c:v>9</c:v>
              </c:pt>
              <c:pt idx="2">
                <c:v>14</c:v>
              </c:pt>
              <c:pt idx="3">
                <c:v>11</c:v>
              </c:pt>
              <c:pt idx="4">
                <c:v>2</c:v>
              </c:pt>
            </c:numLit>
          </c:val>
        </c:ser>
        <c:ser>
          <c:idx val="1"/>
          <c:order val="1"/>
          <c:tx>
            <c:v>CEC</c:v>
          </c:tx>
          <c:cat>
            <c:strLit>
              <c:ptCount val="5"/>
              <c:pt idx="0">
                <c:v>2026-01</c:v>
              </c:pt>
              <c:pt idx="1">
                <c:v>2026-02</c:v>
              </c:pt>
              <c:pt idx="2">
                <c:v>2026-03</c:v>
              </c:pt>
              <c:pt idx="3">
                <c:v>2026-04</c:v>
              </c:pt>
              <c:pt idx="4">
                <c:v>2026-05</c:v>
              </c:pt>
            </c:strLit>
          </c:cat>
          <c:val>
            <c:numLit>
              <c:formatCode/>
              <c:ptCount val="5"/>
              <c:pt idx="0">
                <c:v>6</c:v>
              </c:pt>
              <c:pt idx="1">
                <c:v>5</c:v>
              </c:pt>
              <c:pt idx="2">
                <c:v>4</c:v>
              </c:pt>
              <c:pt idx="3">
                <c:v>4</c:v>
              </c:pt>
              <c:pt idx="4">
                <c:v>1</c:v>
              </c:pt>
            </c:numLit>
          </c:val>
        </c:ser>
        <c:ser>
          <c:idx val="2"/>
          <c:order val="2"/>
          <c:tx>
            <c:v>Comments</c:v>
          </c:tx>
          <c:cat>
            <c:strLit>
              <c:ptCount val="5"/>
              <c:pt idx="0">
                <c:v>2026-01</c:v>
              </c:pt>
              <c:pt idx="1">
                <c:v>2026-02</c:v>
              </c:pt>
              <c:pt idx="2">
                <c:v>2026-03</c:v>
              </c:pt>
              <c:pt idx="3">
                <c:v>2026-04</c:v>
              </c:pt>
              <c:pt idx="4">
                <c:v>2026-05</c:v>
              </c:pt>
            </c:strLit>
          </c:cat>
          <c:val>
            <c:numLit>
              <c:formatCode/>
              <c:ptCount val="5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1</c:v>
              </c:pt>
            </c:numLit>
          </c:val>
        </c:ser>
        <c:ser>
          <c:idx val="3"/>
          <c:order val="3"/>
          <c:tx>
            <c:v>Video</c:v>
          </c:tx>
          <c:cat>
            <c:strLit>
              <c:ptCount val="5"/>
              <c:pt idx="0">
                <c:v>2026-01</c:v>
              </c:pt>
              <c:pt idx="1">
                <c:v>2026-02</c:v>
              </c:pt>
              <c:pt idx="2">
                <c:v>2026-03</c:v>
              </c:pt>
              <c:pt idx="3">
                <c:v>2026-04</c:v>
              </c:pt>
              <c:pt idx="4">
                <c:v>2026-05</c:v>
              </c:pt>
            </c:strLit>
          </c:cat>
          <c:val>
            <c:numLit>
              <c:formatCode/>
              <c:ptCount val="5"/>
              <c:pt idx="0">
                <c:v>5</c:v>
              </c:pt>
              <c:pt idx="1">
                <c:v>6</c:v>
              </c:pt>
              <c:pt idx="2">
                <c:v>4</c:v>
              </c:pt>
              <c:pt idx="3">
                <c:v>3</c:v>
              </c:pt>
              <c:pt idx="4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9</xdr:row>
      <xdr:rowOff>0</xdr:rowOff>
    </xdr:from>
    <xdr:ext cx="4953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96e537ec9a47f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476250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8c535b41b349e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853acb9091144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503dbe41c794b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69999885559082" hidden="0" customWidth="1"/>
    <x:col min="2" max="2" width="9.449999809265137" hidden="0" customWidth="1"/>
    <x:col min="3" max="3" width="10.180000305175781" hidden="0" customWidth="1"/>
    <x:col min="4" max="4" width="13.869999885559082" hidden="0" customWidth="1"/>
    <x:col min="5" max="5" width="9.9399995803833" hidden="0" customWidth="1"/>
    <x:col min="6" max="6" width="12.149999618530273" hidden="0" customWidth="1"/>
    <x:col min="7" max="7" width="10.180000305175781" hidden="0" customWidth="1"/>
    <x:col min="8" max="8" width="14.850000381469727" hidden="0" customWidth="1"/>
    <x:col min="9" max="9" width="12.390000343322754" hidden="0" customWidth="1"/>
    <x:col min="10" max="10" width="13.869999885559082" hidden="0" customWidth="1"/>
    <x:col min="11" max="11" width="10.920000076293945" hidden="0" customWidth="1"/>
    <x:col min="12" max="12" width="21.469999313354492" hidden="0" customWidth="1"/>
  </x:cols>
  <x:sheetData>
    <x:row r="1" ht="25.5" customHeight="1">
      <x:c r="A1" s="4" t="str">
        <x:v>Capacity Maio 2026 - Projecao e Turmas</x:v>
      </x:c>
      <x:c r="B1" s="4" t="str">
        <x:v>Capacity Maio 2026 - Projecao e Turmas</x:v>
      </x:c>
      <x:c r="C1" s="4" t="str">
        <x:v>Capacity Maio 2026 - Projecao e Turmas</x:v>
      </x:c>
      <x:c r="D1" s="4" t="str">
        <x:v>Capacity Maio 2026 - Projecao e Turmas</x:v>
      </x:c>
      <x:c r="E1" s="4" t="str">
        <x:v>Capacity Maio 2026 - Projecao e Turmas</x:v>
      </x:c>
      <x:c r="F1" s="4" t="str">
        <x:v>Capacity Maio 2026 - Projecao e Turmas</x:v>
      </x:c>
      <x:c r="G1" s="4" t="str">
        <x:v>Capacity Maio 2026 - Projecao e Turmas</x:v>
      </x:c>
      <x:c r="H1" s="4" t="str">
        <x:v>Capacity Maio 2026 - Projecao e Turmas</x:v>
      </x:c>
      <x:c r="I1" s="4" t="str">
        <x:v>Capacity Maio 2026 - Projecao e Turmas</x:v>
      </x:c>
      <x:c r="J1" s="4" t="str">
        <x:v>Capacity Maio 2026 - Projecao e Turmas</x:v>
      </x:c>
      <x:c r="K1" s="4" t="str">
        <x:v>Capacity Maio 2026 - Projecao e Turmas</x:v>
      </x:c>
      <x:c r="L1" s="4" t="str">
        <x:v>Capacity Maio 2026 - Projecao e Turmas</x:v>
      </x:c>
    </x:row>
    <x:row r="3" ht="25.5" customHeight="1">
      <x:c r="A3" s="7" t="str">
        <x:v>Modelo usa Jan-Abr/2026 como baseline de attrition diaria por LOB. Maio esta parcial no arquivo, entao entra no historico mensal, mas nao na taxa base.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5">
      <x:c r="A5" s="12" t="str">
        <x:v>LOB</x:v>
      </x:c>
      <x:c r="B5" s="13" t="str">
        <x:v>HC atual</x:v>
      </x:c>
      <x:c r="C5" s="13" t="str">
        <x:v>Requerido</x:v>
      </x:c>
      <x:c r="D5" s="13" t="str">
        <x:v>Hist deslig Jan-Abr</x:v>
      </x:c>
      <x:c r="E5" s="13" t="str">
        <x:v>Deslig/dia</x:v>
      </x:c>
      <x:c r="F5" s="13" t="str">
        <x:v>HC proj 31/05</x:v>
      </x:c>
      <x:c r="G5" s="13" t="str">
        <x:v>Gap vs req</x:v>
      </x:c>
      <x:c r="H5" s="13" t="str">
        <x:v>Iniciar treinamento</x:v>
      </x:c>
      <x:c r="I5" s="13" t="str">
        <x:v>Graduados esp.</x:v>
      </x:c>
      <x:c r="J5" s="13" t="str">
        <x:v>HC final c/ turma</x:v>
      </x:c>
      <x:c r="K5" s="13" t="str">
        <x:v>Saldo vs req</x:v>
      </x:c>
      <x:c r="L5" s="14" t="str">
        <x:v>Maior risco historico</x:v>
      </x:c>
    </x:row>
    <x:row r="6">
      <x:c r="A6" s="15" t="str">
        <x:v>ADS</x:v>
      </x:c>
      <x:c r="B6" s="30" t="n">
        <x:v>63</x:v>
      </x:c>
      <x:c r="C6" s="30" t="n">
        <x:v>65</x:v>
      </x:c>
      <x:c r="D6" s="30" t="n">
        <x:v>46</x:v>
      </x:c>
      <x:c r="E6" s="33" t="n">
        <x:f>D6/Premissas!$B$7</x:f>
        <x:v>0.38333333333333336</x:v>
      </x:c>
      <x:c r="F6" s="33" t="n">
        <x:f>B6-(Premissas!$B$8*E6)</x:f>
        <x:v>57.63333333333333</x:v>
      </x:c>
      <x:c r="G6" s="33" t="n">
        <x:f>MAX(0,C6-F6)</x:f>
        <x:v>7.366666666666667</x:v>
      </x:c>
      <x:c r="H6" s="33" t="n">
        <x:f>CEILING(G6/Premissas!$B$10,1)</x:f>
        <x:v>13</x:v>
      </x:c>
      <x:c r="I6" s="33" t="n">
        <x:f>H6*Premissas!$B$10</x:f>
        <x:v>7.8</x:v>
      </x:c>
      <x:c r="J6" s="33" t="n">
        <x:f>F6+I6</x:f>
        <x:v>65.43333333333334</x:v>
      </x:c>
      <x:c r="K6" s="33" t="n">
        <x:f>J6-C6</x:f>
        <x:v>0.4333333333333371</x:v>
      </x:c>
      <x:c r="L6" s="17" t="str">
        <x:v>Involuntary / + 12 Meses</x:v>
      </x:c>
    </x:row>
    <x:row r="7">
      <x:c r="A7" s="18" t="str">
        <x:v>CEC</x:v>
      </x:c>
      <x:c r="B7" s="31" t="n">
        <x:v>25</x:v>
      </x:c>
      <x:c r="C7" s="31" t="n">
        <x:v>26</x:v>
      </x:c>
      <x:c r="D7" s="31" t="n">
        <x:v>19</x:v>
      </x:c>
      <x:c r="E7" s="34" t="n">
        <x:f>D7/Premissas!$B$7</x:f>
        <x:v>0.15833333333333333</x:v>
      </x:c>
      <x:c r="F7" s="34" t="n">
        <x:f>B7-(Premissas!$B$8*E7)</x:f>
        <x:v>22.78333333333333</x:v>
      </x:c>
      <x:c r="G7" s="34" t="n">
        <x:f>MAX(0,C7-F7)</x:f>
        <x:v>3.2166666666666686</x:v>
      </x:c>
      <x:c r="H7" s="34" t="n">
        <x:f>CEILING(G7/Premissas!$B$10,1)</x:f>
        <x:v>6</x:v>
      </x:c>
      <x:c r="I7" s="34" t="n">
        <x:f>H7*Premissas!$B$10</x:f>
        <x:v>3.5999999999999996</x:v>
      </x:c>
      <x:c r="J7" s="34" t="n">
        <x:f>F7+I7</x:f>
        <x:v>26.383333333333333</x:v>
      </x:c>
      <x:c r="K7" s="34" t="n">
        <x:f>J7-C7</x:f>
        <x:v>0.38333333333333286</x:v>
      </x:c>
      <x:c r="L7" s="20" t="str">
        <x:v>Voluntary / + 6 Meses</x:v>
      </x:c>
    </x:row>
    <x:row r="8">
      <x:c r="A8" s="18" t="str">
        <x:v>Comments</x:v>
      </x:c>
      <x:c r="B8" s="31" t="n">
        <x:v>9</x:v>
      </x:c>
      <x:c r="C8" s="31" t="n">
        <x:v>9</x:v>
      </x:c>
      <x:c r="D8" s="31" t="n">
        <x:v>1</x:v>
      </x:c>
      <x:c r="E8" s="34" t="n">
        <x:f>D8/Premissas!$B$7</x:f>
        <x:v>0.008333333333333333</x:v>
      </x:c>
      <x:c r="F8" s="34" t="n">
        <x:f>B8-(Premissas!$B$8*E8)</x:f>
        <x:v>8.883333333333333</x:v>
      </x:c>
      <x:c r="G8" s="34" t="n">
        <x:f>MAX(0,C8-F8)</x:f>
        <x:v>0.11666666666666714</x:v>
      </x:c>
      <x:c r="H8" s="34" t="n">
        <x:f>CEILING(G8/Premissas!$B$10,1)</x:f>
        <x:v>1</x:v>
      </x:c>
      <x:c r="I8" s="34" t="n">
        <x:f>H8*Premissas!$B$10</x:f>
        <x:v>0.6</x:v>
      </x:c>
      <x:c r="J8" s="34" t="n">
        <x:f>F8+I8</x:f>
        <x:v>9.483333333333333</x:v>
      </x:c>
      <x:c r="K8" s="34" t="n">
        <x:f>J8-C8</x:f>
        <x:v>0.4833333333333325</x:v>
      </x:c>
      <x:c r="L8" s="20" t="str">
        <x:v>Voluntary / + 6 Meses</x:v>
      </x:c>
    </x:row>
    <x:row r="9">
      <x:c r="A9" s="18" t="str">
        <x:v>Video</x:v>
      </x:c>
      <x:c r="B9" s="31" t="n">
        <x:v>28</x:v>
      </x:c>
      <x:c r="C9" s="31" t="n">
        <x:v>31</x:v>
      </x:c>
      <x:c r="D9" s="31" t="n">
        <x:v>18</x:v>
      </x:c>
      <x:c r="E9" s="34" t="n">
        <x:f>D9/Premissas!$B$7</x:f>
        <x:v>0.15</x:v>
      </x:c>
      <x:c r="F9" s="34" t="n">
        <x:f>B9-(Premissas!$B$8*E9)</x:f>
        <x:v>25.9</x:v>
      </x:c>
      <x:c r="G9" s="34" t="n">
        <x:f>MAX(0,C9-F9)</x:f>
        <x:v>5.100000000000001</x:v>
      </x:c>
      <x:c r="H9" s="34" t="n">
        <x:f>CEILING(G9/Premissas!$B$10,1)</x:f>
        <x:v>9</x:v>
      </x:c>
      <x:c r="I9" s="34" t="n">
        <x:f>H9*Premissas!$B$10</x:f>
        <x:v>5.3999999999999995</x:v>
      </x:c>
      <x:c r="J9" s="34" t="n">
        <x:f>F9+I9</x:f>
        <x:v>31.299999999999997</x:v>
      </x:c>
      <x:c r="K9" s="34" t="n">
        <x:f>J9-C9</x:f>
        <x:v>0.29999999999999716</x:v>
      </x:c>
      <x:c r="L9" s="20" t="str">
        <x:v>Involuntary / + 6 Meses</x:v>
      </x:c>
    </x:row>
    <x:row r="10">
      <x:c r="A10" s="27" t="str">
        <x:v>Total</x:v>
      </x:c>
      <x:c r="B10" s="32" t="n">
        <x:f>SUM(B6:B9)</x:f>
        <x:v>125</x:v>
      </x:c>
      <x:c r="C10" s="32" t="n">
        <x:f>SUM(C6:C9)</x:f>
        <x:v>131</x:v>
      </x:c>
      <x:c r="D10" s="32" t="n">
        <x:f>SUM(D6:D9)</x:f>
        <x:v>84</x:v>
      </x:c>
      <x:c r="E10" s="35" t="n">
        <x:f>SUM(E6:E9)</x:f>
        <x:v>0.7000000000000001</x:v>
      </x:c>
      <x:c r="F10" s="35" t="n">
        <x:f>SUM(F6:F9)</x:f>
        <x:v>115.19999999999999</x:v>
      </x:c>
      <x:c r="G10" s="35" t="n">
        <x:f>SUM(G6:G9)</x:f>
        <x:v>15.800000000000004</x:v>
      </x:c>
      <x:c r="H10" s="35" t="n">
        <x:f>SUM(H6:H9)</x:f>
        <x:v>29</x:v>
      </x:c>
      <x:c r="I10" s="35" t="n">
        <x:f>SUM(I6:I9)</x:f>
        <x:v>17.4</x:v>
      </x:c>
      <x:c r="J10" s="35" t="n">
        <x:f>SUM(J6:J9)</x:f>
        <x:v>132.6</x:v>
      </x:c>
      <x:c r="K10" s="35" t="n">
        <x:f>SUM(K6:K9)</x:f>
        <x:v>1.5999999999999996</x:v>
      </x:c>
      <x:c r="L10" s="29" t="str"/>
    </x:row>
  </x:sheetData>
  <x:mergeCells>
    <x:mergeCell ref="A1:L1"/>
    <x:mergeCell ref="A3:L3"/>
  </x:mergeCells>
  <x:conditionalFormatting sqref="G6:G9">
    <x:cfRule type="cellIs" dxfId="0" priority="1" operator="greaterThan">
      <x:formula>0</x:formula>
    </x:cfRule>
  </x:conditionalFormatting>
  <x:conditionalFormatting sqref="K6:K9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70000076293945" hidden="0" customWidth="1"/>
    <x:col min="2" max="2" width="9.449999809265137" hidden="0" customWidth="1"/>
    <x:col min="3" max="3" width="9.449999809265137" hidden="0" customWidth="1"/>
    <x:col min="4" max="4" width="10.670000076293945" hidden="0" customWidth="1"/>
    <x:col min="5" max="5" width="9.449999809265137" hidden="0" customWidth="1"/>
    <x:col min="6" max="6" width="9.9399995803833" hidden="0" customWidth="1"/>
    <x:col min="7" max="7" width="1.840000033378601" hidden="0" customWidth="1"/>
    <x:col min="8" max="8" width="11.039999961853027" hidden="0" customWidth="1"/>
    <x:col min="9" max="9" width="10.670000076293945" hidden="0" customWidth="1"/>
    <x:col min="10" max="10" width="10.670000076293945" hidden="0" customWidth="1"/>
    <x:col min="11" max="11" width="9.449999809265137" hidden="0" customWidth="1"/>
    <x:col min="12" max="12" width="9.449999809265137" hidden="0" customWidth="1"/>
    <x:col min="13" max="13" width="9.449999809265137" hidden="0" customWidth="1"/>
  </x:cols>
  <x:sheetData>
    <x:row r="1" ht="25.5" customHeight="1">
      <x:c r="A1" s="4" t="str">
        <x:v>Projecao diaria de HC esperado</x:v>
      </x:c>
      <x:c r="B1" s="4" t="str">
        <x:v>Projecao diaria de HC esperado</x:v>
      </x:c>
      <x:c r="C1" s="4" t="str">
        <x:v>Projecao diaria de HC esperado</x:v>
      </x:c>
      <x:c r="D1" s="4" t="str">
        <x:v>Projecao diaria de HC esperado</x:v>
      </x:c>
      <x:c r="E1" s="4" t="str">
        <x:v>Projecao diaria de HC esperado</x:v>
      </x:c>
      <x:c r="F1" s="4" t="str">
        <x:v>Projecao diaria de HC esperado</x:v>
      </x:c>
    </x:row>
    <x:row r="3">
      <x:c r="A3" s="37" t="str">
        <x:v>Data</x:v>
      </x:c>
      <x:c r="B3" s="38" t="str">
        <x:v>ADS</x:v>
      </x:c>
      <x:c r="C3" s="38" t="str">
        <x:v>CEC</x:v>
      </x:c>
      <x:c r="D3" s="38" t="str">
        <x:v>Comments</x:v>
      </x:c>
      <x:c r="E3" s="38" t="str">
        <x:v>Video</x:v>
      </x:c>
      <x:c r="F3" s="39" t="str">
        <x:v>Total</x:v>
      </x:c>
      <x:c r="H3" s="37" t="str">
        <x:v>LOB</x:v>
      </x:c>
      <x:c r="I3" s="38" t="str">
        <x:v>Requerido</x:v>
      </x:c>
      <x:c r="J3" s="38" t="str">
        <x:v>HC 31/05</x:v>
      </x:c>
      <x:c r="K3" s="38" t="str">
        <x:v>Gap</x:v>
      </x:c>
      <x:c r="L3" s="38" t="str">
        <x:v>Iniciar</x:v>
      </x:c>
      <x:c r="M3" s="39" t="str">
        <x:v>Grad esp.</x:v>
      </x:c>
    </x:row>
    <x:row r="4">
      <x:c r="A4" s="40" t="n">
        <x:v>46159</x:v>
      </x:c>
      <x:c r="B4" s="34" t="n">
        <x:f>Resumo!$B$6-0*Resumo!$E$6</x:f>
        <x:v>63</x:v>
      </x:c>
      <x:c r="C4" s="34" t="n">
        <x:f>Resumo!$B$7-0*Resumo!$E$7</x:f>
        <x:v>25</x:v>
      </x:c>
      <x:c r="D4" s="34" t="n">
        <x:f>Resumo!$B$8-0*Resumo!$E$8</x:f>
        <x:v>9</x:v>
      </x:c>
      <x:c r="E4" s="34" t="n">
        <x:f>Resumo!$B$9-0*Resumo!$E$9</x:f>
        <x:v>28</x:v>
      </x:c>
      <x:c r="F4" s="42" t="n">
        <x:f>SUM(B4:E4)</x:f>
        <x:v>125</x:v>
      </x:c>
      <x:c r="H4" s="46" t="str">
        <x:f>Resumo!A6</x:f>
        <x:v>ADS</x:v>
      </x:c>
      <x:c r="I4" s="34" t="n">
        <x:f>Resumo!C6</x:f>
        <x:v>65</x:v>
      </x:c>
      <x:c r="J4" s="34" t="n">
        <x:f>Resumo!F6</x:f>
        <x:v>57.63333333333333</x:v>
      </x:c>
      <x:c r="K4" s="34" t="n">
        <x:f>Resumo!G6</x:f>
        <x:v>7.366666666666667</x:v>
      </x:c>
      <x:c r="L4" s="34" t="n">
        <x:f>Resumo!H6</x:f>
        <x:v>13</x:v>
      </x:c>
      <x:c r="M4" s="42" t="n">
        <x:f>Resumo!I6</x:f>
        <x:v>7.8</x:v>
      </x:c>
    </x:row>
    <x:row r="5">
      <x:c r="A5" s="40" t="n">
        <x:v>46160</x:v>
      </x:c>
      <x:c r="B5" s="34" t="n">
        <x:f>Resumo!$B$6-1*Resumo!$E$6</x:f>
        <x:v>62.61666666666667</x:v>
      </x:c>
      <x:c r="C5" s="34" t="n">
        <x:f>Resumo!$B$7-1*Resumo!$E$7</x:f>
        <x:v>24.841666666666665</x:v>
      </x:c>
      <x:c r="D5" s="34" t="n">
        <x:f>Resumo!$B$8-1*Resumo!$E$8</x:f>
        <x:v>8.991666666666667</x:v>
      </x:c>
      <x:c r="E5" s="34" t="n">
        <x:f>Resumo!$B$9-1*Resumo!$E$9</x:f>
        <x:v>27.85</x:v>
      </x:c>
      <x:c r="F5" s="42" t="n">
        <x:f>SUM(B5:E5)</x:f>
        <x:v>124.29999999999998</x:v>
      </x:c>
      <x:c r="H5" s="46" t="str">
        <x:f>Resumo!A7</x:f>
        <x:v>CEC</x:v>
      </x:c>
      <x:c r="I5" s="34" t="n">
        <x:f>Resumo!C7</x:f>
        <x:v>26</x:v>
      </x:c>
      <x:c r="J5" s="34" t="n">
        <x:f>Resumo!F7</x:f>
        <x:v>22.78333333333333</x:v>
      </x:c>
      <x:c r="K5" s="34" t="n">
        <x:f>Resumo!G7</x:f>
        <x:v>3.2166666666666686</x:v>
      </x:c>
      <x:c r="L5" s="34" t="n">
        <x:f>Resumo!H7</x:f>
        <x:v>6</x:v>
      </x:c>
      <x:c r="M5" s="42" t="n">
        <x:f>Resumo!I7</x:f>
        <x:v>3.5999999999999996</x:v>
      </x:c>
    </x:row>
    <x:row r="6">
      <x:c r="A6" s="40" t="n">
        <x:v>46161</x:v>
      </x:c>
      <x:c r="B6" s="34" t="n">
        <x:f>Resumo!$B$6-2*Resumo!$E$6</x:f>
        <x:v>62.233333333333334</x:v>
      </x:c>
      <x:c r="C6" s="34" t="n">
        <x:f>Resumo!$B$7-2*Resumo!$E$7</x:f>
        <x:v>24.683333333333334</x:v>
      </x:c>
      <x:c r="D6" s="34" t="n">
        <x:f>Resumo!$B$8-2*Resumo!$E$8</x:f>
        <x:v>8.983333333333333</x:v>
      </x:c>
      <x:c r="E6" s="34" t="n">
        <x:f>Resumo!$B$9-2*Resumo!$E$9</x:f>
        <x:v>27.7</x:v>
      </x:c>
      <x:c r="F6" s="42" t="n">
        <x:f>SUM(B6:E6)</x:f>
        <x:v>123.60000000000001</x:v>
      </x:c>
      <x:c r="H6" s="46" t="str">
        <x:f>Resumo!A8</x:f>
        <x:v>Comments</x:v>
      </x:c>
      <x:c r="I6" s="34" t="n">
        <x:f>Resumo!C8</x:f>
        <x:v>9</x:v>
      </x:c>
      <x:c r="J6" s="34" t="n">
        <x:f>Resumo!F8</x:f>
        <x:v>8.883333333333333</x:v>
      </x:c>
      <x:c r="K6" s="34" t="n">
        <x:f>Resumo!G8</x:f>
        <x:v>0.11666666666666714</x:v>
      </x:c>
      <x:c r="L6" s="34" t="n">
        <x:f>Resumo!H8</x:f>
        <x:v>1</x:v>
      </x:c>
      <x:c r="M6" s="42" t="n">
        <x:f>Resumo!I8</x:f>
        <x:v>0.6</x:v>
      </x:c>
    </x:row>
    <x:row r="7">
      <x:c r="A7" s="40" t="n">
        <x:v>46162</x:v>
      </x:c>
      <x:c r="B7" s="34" t="n">
        <x:f>Resumo!$B$6-3*Resumo!$E$6</x:f>
        <x:v>61.85</x:v>
      </x:c>
      <x:c r="C7" s="34" t="n">
        <x:f>Resumo!$B$7-3*Resumo!$E$7</x:f>
        <x:v>24.525</x:v>
      </x:c>
      <x:c r="D7" s="34" t="n">
        <x:f>Resumo!$B$8-3*Resumo!$E$8</x:f>
        <x:v>8.975</x:v>
      </x:c>
      <x:c r="E7" s="34" t="n">
        <x:f>Resumo!$B$9-3*Resumo!$E$9</x:f>
        <x:v>27.55</x:v>
      </x:c>
      <x:c r="F7" s="42" t="n">
        <x:f>SUM(B7:E7)</x:f>
        <x:v>122.89999999999999</x:v>
      </x:c>
      <x:c r="H7" s="47" t="str">
        <x:f>Resumo!A9</x:f>
        <x:v>Video</x:v>
      </x:c>
      <x:c r="I7" s="43" t="n">
        <x:f>Resumo!C9</x:f>
        <x:v>31</x:v>
      </x:c>
      <x:c r="J7" s="43" t="n">
        <x:f>Resumo!F9</x:f>
        <x:v>25.9</x:v>
      </x:c>
      <x:c r="K7" s="43" t="n">
        <x:f>Resumo!G9</x:f>
        <x:v>5.100000000000001</x:v>
      </x:c>
      <x:c r="L7" s="43" t="n">
        <x:f>Resumo!H9</x:f>
        <x:v>9</x:v>
      </x:c>
      <x:c r="M7" s="44" t="n">
        <x:f>Resumo!I9</x:f>
        <x:v>5.3999999999999995</x:v>
      </x:c>
    </x:row>
    <x:row r="8">
      <x:c r="A8" s="40" t="n">
        <x:v>46163</x:v>
      </x:c>
      <x:c r="B8" s="34" t="n">
        <x:f>Resumo!$B$6-4*Resumo!$E$6</x:f>
        <x:v>61.46666666666667</x:v>
      </x:c>
      <x:c r="C8" s="34" t="n">
        <x:f>Resumo!$B$7-4*Resumo!$E$7</x:f>
        <x:v>24.366666666666667</x:v>
      </x:c>
      <x:c r="D8" s="34" t="n">
        <x:f>Resumo!$B$8-4*Resumo!$E$8</x:f>
        <x:v>8.966666666666667</x:v>
      </x:c>
      <x:c r="E8" s="34" t="n">
        <x:f>Resumo!$B$9-4*Resumo!$E$9</x:f>
        <x:v>27.4</x:v>
      </x:c>
      <x:c r="F8" s="42" t="n">
        <x:f>SUM(B8:E8)</x:f>
        <x:v>122.20000000000002</x:v>
      </x:c>
    </x:row>
    <x:row r="9">
      <x:c r="A9" s="40" t="n">
        <x:v>46164</x:v>
      </x:c>
      <x:c r="B9" s="34" t="n">
        <x:f>Resumo!$B$6-5*Resumo!$E$6</x:f>
        <x:v>61.083333333333336</x:v>
      </x:c>
      <x:c r="C9" s="34" t="n">
        <x:f>Resumo!$B$7-5*Resumo!$E$7</x:f>
        <x:v>24.208333333333332</x:v>
      </x:c>
      <x:c r="D9" s="34" t="n">
        <x:f>Resumo!$B$8-5*Resumo!$E$8</x:f>
        <x:v>8.958333333333334</x:v>
      </x:c>
      <x:c r="E9" s="34" t="n">
        <x:f>Resumo!$B$9-5*Resumo!$E$9</x:f>
        <x:v>27.25</x:v>
      </x:c>
      <x:c r="F9" s="42" t="n">
        <x:f>SUM(B9:E9)</x:f>
        <x:v>121.5</x:v>
      </x:c>
    </x:row>
    <x:row r="10">
      <x:c r="A10" s="40" t="n">
        <x:v>46165</x:v>
      </x:c>
      <x:c r="B10" s="34" t="n">
        <x:f>Resumo!$B$6-6*Resumo!$E$6</x:f>
        <x:v>60.7</x:v>
      </x:c>
      <x:c r="C10" s="34" t="n">
        <x:f>Resumo!$B$7-6*Resumo!$E$7</x:f>
        <x:v>24.05</x:v>
      </x:c>
      <x:c r="D10" s="34" t="n">
        <x:f>Resumo!$B$8-6*Resumo!$E$8</x:f>
        <x:v>8.95</x:v>
      </x:c>
      <x:c r="E10" s="34" t="n">
        <x:f>Resumo!$B$9-6*Resumo!$E$9</x:f>
        <x:v>27.1</x:v>
      </x:c>
      <x:c r="F10" s="42" t="n">
        <x:f>SUM(B10:E10)</x:f>
        <x:v>120.80000000000001</x:v>
      </x:c>
    </x:row>
    <x:row r="11">
      <x:c r="A11" s="40" t="n">
        <x:v>46166</x:v>
      </x:c>
      <x:c r="B11" s="34" t="n">
        <x:f>Resumo!$B$6-7*Resumo!$E$6</x:f>
        <x:v>60.31666666666666</x:v>
      </x:c>
      <x:c r="C11" s="34" t="n">
        <x:f>Resumo!$B$7-7*Resumo!$E$7</x:f>
        <x:v>23.891666666666666</x:v>
      </x:c>
      <x:c r="D11" s="34" t="n">
        <x:f>Resumo!$B$8-7*Resumo!$E$8</x:f>
        <x:v>8.941666666666666</x:v>
      </x:c>
      <x:c r="E11" s="34" t="n">
        <x:f>Resumo!$B$9-7*Resumo!$E$9</x:f>
        <x:v>26.95</x:v>
      </x:c>
      <x:c r="F11" s="42" t="n">
        <x:f>SUM(B11:E11)</x:f>
        <x:v>120.1</x:v>
      </x:c>
    </x:row>
    <x:row r="12">
      <x:c r="A12" s="40" t="n">
        <x:v>46167</x:v>
      </x:c>
      <x:c r="B12" s="34" t="n">
        <x:f>Resumo!$B$6-8*Resumo!$E$6</x:f>
        <x:v>59.93333333333333</x:v>
      </x:c>
      <x:c r="C12" s="34" t="n">
        <x:f>Resumo!$B$7-8*Resumo!$E$7</x:f>
        <x:v>23.733333333333334</x:v>
      </x:c>
      <x:c r="D12" s="34" t="n">
        <x:f>Resumo!$B$8-8*Resumo!$E$8</x:f>
        <x:v>8.933333333333334</x:v>
      </x:c>
      <x:c r="E12" s="34" t="n">
        <x:f>Resumo!$B$9-8*Resumo!$E$9</x:f>
        <x:v>26.8</x:v>
      </x:c>
      <x:c r="F12" s="42" t="n">
        <x:f>SUM(B12:E12)</x:f>
        <x:v>119.39999999999999</x:v>
      </x:c>
    </x:row>
    <x:row r="13">
      <x:c r="A13" s="40" t="n">
        <x:v>46168</x:v>
      </x:c>
      <x:c r="B13" s="34" t="n">
        <x:f>Resumo!$B$6-9*Resumo!$E$6</x:f>
        <x:v>59.55</x:v>
      </x:c>
      <x:c r="C13" s="34" t="n">
        <x:f>Resumo!$B$7-9*Resumo!$E$7</x:f>
        <x:v>23.575</x:v>
      </x:c>
      <x:c r="D13" s="34" t="n">
        <x:f>Resumo!$B$8-9*Resumo!$E$8</x:f>
        <x:v>8.925</x:v>
      </x:c>
      <x:c r="E13" s="34" t="n">
        <x:f>Resumo!$B$9-9*Resumo!$E$9</x:f>
        <x:v>26.65</x:v>
      </x:c>
      <x:c r="F13" s="42" t="n">
        <x:f>SUM(B13:E13)</x:f>
        <x:v>118.69999999999999</x:v>
      </x:c>
    </x:row>
    <x:row r="14">
      <x:c r="A14" s="40" t="n">
        <x:v>46169</x:v>
      </x:c>
      <x:c r="B14" s="34" t="n">
        <x:f>Resumo!$B$6-10*Resumo!$E$6</x:f>
        <x:v>59.166666666666664</x:v>
      </x:c>
      <x:c r="C14" s="34" t="n">
        <x:f>Resumo!$B$7-10*Resumo!$E$7</x:f>
        <x:v>23.416666666666668</x:v>
      </x:c>
      <x:c r="D14" s="34" t="n">
        <x:f>Resumo!$B$8-10*Resumo!$E$8</x:f>
        <x:v>8.916666666666666</x:v>
      </x:c>
      <x:c r="E14" s="34" t="n">
        <x:f>Resumo!$B$9-10*Resumo!$E$9</x:f>
        <x:v>26.5</x:v>
      </x:c>
      <x:c r="F14" s="42" t="n">
        <x:f>SUM(B14:E14)</x:f>
        <x:v>118</x:v>
      </x:c>
    </x:row>
    <x:row r="15">
      <x:c r="A15" s="40" t="n">
        <x:v>46170</x:v>
      </x:c>
      <x:c r="B15" s="34" t="n">
        <x:f>Resumo!$B$6-11*Resumo!$E$6</x:f>
        <x:v>58.78333333333333</x:v>
      </x:c>
      <x:c r="C15" s="34" t="n">
        <x:f>Resumo!$B$7-11*Resumo!$E$7</x:f>
        <x:v>23.258333333333333</x:v>
      </x:c>
      <x:c r="D15" s="34" t="n">
        <x:f>Resumo!$B$8-11*Resumo!$E$8</x:f>
        <x:v>8.908333333333333</x:v>
      </x:c>
      <x:c r="E15" s="34" t="n">
        <x:f>Resumo!$B$9-11*Resumo!$E$9</x:f>
        <x:v>26.35</x:v>
      </x:c>
      <x:c r="F15" s="42" t="n">
        <x:f>SUM(B15:E15)</x:f>
        <x:v>117.29999999999998</x:v>
      </x:c>
    </x:row>
    <x:row r="16">
      <x:c r="A16" s="40" t="n">
        <x:v>46171</x:v>
      </x:c>
      <x:c r="B16" s="34" t="n">
        <x:f>Resumo!$B$6-12*Resumo!$E$6</x:f>
        <x:v>58.4</x:v>
      </x:c>
      <x:c r="C16" s="34" t="n">
        <x:f>Resumo!$B$7-12*Resumo!$E$7</x:f>
        <x:v>23.1</x:v>
      </x:c>
      <x:c r="D16" s="34" t="n">
        <x:f>Resumo!$B$8-12*Resumo!$E$8</x:f>
        <x:v>8.9</x:v>
      </x:c>
      <x:c r="E16" s="34" t="n">
        <x:f>Resumo!$B$9-12*Resumo!$E$9</x:f>
        <x:v>26.2</x:v>
      </x:c>
      <x:c r="F16" s="42" t="n">
        <x:f>SUM(B16:E16)</x:f>
        <x:v>116.60000000000001</x:v>
      </x:c>
    </x:row>
    <x:row r="17">
      <x:c r="A17" s="40" t="n">
        <x:v>46172</x:v>
      </x:c>
      <x:c r="B17" s="34" t="n">
        <x:f>Resumo!$B$6-13*Resumo!$E$6</x:f>
        <x:v>58.016666666666666</x:v>
      </x:c>
      <x:c r="C17" s="34" t="n">
        <x:f>Resumo!$B$7-13*Resumo!$E$7</x:f>
        <x:v>22.941666666666666</x:v>
      </x:c>
      <x:c r="D17" s="34" t="n">
        <x:f>Resumo!$B$8-13*Resumo!$E$8</x:f>
        <x:v>8.891666666666667</x:v>
      </x:c>
      <x:c r="E17" s="34" t="n">
        <x:f>Resumo!$B$9-13*Resumo!$E$9</x:f>
        <x:v>26.05</x:v>
      </x:c>
      <x:c r="F17" s="42" t="n">
        <x:f>SUM(B17:E17)</x:f>
        <x:v>115.89999999999999</x:v>
      </x:c>
    </x:row>
    <x:row r="18">
      <x:c r="A18" s="41" t="n">
        <x:v>46173</x:v>
      </x:c>
      <x:c r="B18" s="43" t="n">
        <x:f>Resumo!$B$6-14*Resumo!$E$6</x:f>
        <x:v>57.63333333333333</x:v>
      </x:c>
      <x:c r="C18" s="43" t="n">
        <x:f>Resumo!$B$7-14*Resumo!$E$7</x:f>
        <x:v>22.78333333333333</x:v>
      </x:c>
      <x:c r="D18" s="43" t="n">
        <x:f>Resumo!$B$8-14*Resumo!$E$8</x:f>
        <x:v>8.883333333333333</x:v>
      </x:c>
      <x:c r="E18" s="43" t="n">
        <x:f>Resumo!$B$9-14*Resumo!$E$9</x:f>
        <x:v>25.9</x:v>
      </x:c>
      <x:c r="F18" s="44" t="n">
        <x:f>SUM(B18:E18)</x:f>
        <x:v>115.19999999999999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b853acb90911444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9999618530273" hidden="0" customWidth="1"/>
    <x:col min="2" max="2" width="13.869999885559082" hidden="0" customWidth="1"/>
    <x:col min="3" max="3" width="13.869999885559082" hidden="0" customWidth="1"/>
    <x:col min="4" max="4" width="13.130000114440918" hidden="0" customWidth="1"/>
    <x:col min="5" max="5" width="10.670000076293945" hidden="0" customWidth="1"/>
    <x:col min="6" max="6" width="15.34000015258789" hidden="0" customWidth="1"/>
  </x:cols>
  <x:sheetData>
    <x:row r="1" ht="25.5" customHeight="1">
      <x:c r="A1" s="4" t="str">
        <x:v>Mix de attrition usado no risco</x:v>
      </x:c>
      <x:c r="B1" s="4" t="str">
        <x:v>Mix de attrition usado no risco</x:v>
      </x:c>
      <x:c r="C1" s="4" t="str">
        <x:v>Mix de attrition usado no risco</x:v>
      </x:c>
      <x:c r="D1" s="4" t="str">
        <x:v>Mix de attrition usado no risco</x:v>
      </x:c>
      <x:c r="E1" s="4" t="str">
        <x:v>Mix de attrition usado no risco</x:v>
      </x:c>
      <x:c r="F1" s="4" t="str">
        <x:v>Mix de attrition usado no risco</x:v>
      </x:c>
    </x:row>
    <x:row r="3">
      <x:c r="A3" s="37" t="str">
        <x:v>LOB</x:v>
      </x:c>
      <x:c r="B3" s="38" t="str">
        <x:v>Tipo</x:v>
      </x:c>
      <x:c r="C3" s="38" t="str">
        <x:v>Tenure</x:v>
      </x:c>
      <x:c r="D3" s="38" t="str">
        <x:v>Deslig Jan-Abr</x:v>
      </x:c>
      <x:c r="E3" s="38" t="str">
        <x:v>Mix no LOB</x:v>
      </x:c>
      <x:c r="F3" s="39" t="str">
        <x:v>Exp. saidas ate 31/05</x:v>
      </x:c>
    </x:row>
    <x:row r="4">
      <x:c r="A4" s="18" t="str">
        <x:v>ADS</x:v>
      </x:c>
      <x:c r="B4" s="19" t="str">
        <x:v>Involuntary</x:v>
      </x:c>
      <x:c r="C4" s="19" t="str">
        <x:v>+ 12 Meses</x:v>
      </x:c>
      <x:c r="D4" s="31" t="n">
        <x:v>14</x:v>
      </x:c>
      <x:c r="E4" s="49" t="n">
        <x:v>0.30434782608695654</x:v>
      </x:c>
      <x:c r="F4" s="51" t="n">
        <x:v>1.6333333333333333</x:v>
      </x:c>
    </x:row>
    <x:row r="5">
      <x:c r="A5" s="18" t="str">
        <x:v>ADS</x:v>
      </x:c>
      <x:c r="B5" s="19" t="str">
        <x:v>Voluntary</x:v>
      </x:c>
      <x:c r="C5" s="19" t="str">
        <x:v>3-6 Meses</x:v>
      </x:c>
      <x:c r="D5" s="31" t="n">
        <x:v>9</x:v>
      </x:c>
      <x:c r="E5" s="49" t="n">
        <x:v>0.1956521739130435</x:v>
      </x:c>
      <x:c r="F5" s="51" t="n">
        <x:v>1.05</x:v>
      </x:c>
    </x:row>
    <x:row r="6">
      <x:c r="A6" s="18" t="str">
        <x:v>ADS</x:v>
      </x:c>
      <x:c r="B6" s="19" t="str">
        <x:v>Voluntary</x:v>
      </x:c>
      <x:c r="C6" s="19" t="str">
        <x:v>+ 12 Meses</x:v>
      </x:c>
      <x:c r="D6" s="31" t="n">
        <x:v>8</x:v>
      </x:c>
      <x:c r="E6" s="49" t="n">
        <x:v>0.17391304347826086</x:v>
      </x:c>
      <x:c r="F6" s="51" t="n">
        <x:v>0.9333333333333333</x:v>
      </x:c>
    </x:row>
    <x:row r="7">
      <x:c r="A7" s="18" t="str">
        <x:v>ADS</x:v>
      </x:c>
      <x:c r="B7" s="19" t="str">
        <x:v>Involuntary</x:v>
      </x:c>
      <x:c r="C7" s="19" t="str">
        <x:v>+ 6 Meses</x:v>
      </x:c>
      <x:c r="D7" s="31" t="n">
        <x:v>5</x:v>
      </x:c>
      <x:c r="E7" s="49" t="n">
        <x:v>0.10869565217391304</x:v>
      </x:c>
      <x:c r="F7" s="51" t="n">
        <x:v>0.5833333333333333</x:v>
      </x:c>
    </x:row>
    <x:row r="8">
      <x:c r="A8" s="18" t="str">
        <x:v>ADS</x:v>
      </x:c>
      <x:c r="B8" s="19" t="str">
        <x:v>Voluntary</x:v>
      </x:c>
      <x:c r="C8" s="19" t="str">
        <x:v>-3 Meses</x:v>
      </x:c>
      <x:c r="D8" s="31" t="n">
        <x:v>4</x:v>
      </x:c>
      <x:c r="E8" s="49" t="n">
        <x:v>0.08695652173913043</x:v>
      </x:c>
      <x:c r="F8" s="51" t="n">
        <x:v>0.4666666666666667</x:v>
      </x:c>
    </x:row>
    <x:row r="9">
      <x:c r="A9" s="18" t="str">
        <x:v>ADS</x:v>
      </x:c>
      <x:c r="B9" s="19" t="str">
        <x:v>Voluntary</x:v>
      </x:c>
      <x:c r="C9" s="19" t="str">
        <x:v>+ 6 Meses</x:v>
      </x:c>
      <x:c r="D9" s="31" t="n">
        <x:v>3</x:v>
      </x:c>
      <x:c r="E9" s="49" t="n">
        <x:v>0.06521739130434782</x:v>
      </x:c>
      <x:c r="F9" s="51" t="n">
        <x:v>0.35000000000000003</x:v>
      </x:c>
    </x:row>
    <x:row r="10">
      <x:c r="A10" s="18" t="str">
        <x:v>ADS</x:v>
      </x:c>
      <x:c r="B10" s="19" t="str">
        <x:v>Involuntary</x:v>
      </x:c>
      <x:c r="C10" s="19" t="str">
        <x:v>3-6 Meses</x:v>
      </x:c>
      <x:c r="D10" s="31" t="n">
        <x:v>2</x:v>
      </x:c>
      <x:c r="E10" s="49" t="n">
        <x:v>0.043478260869565216</x:v>
      </x:c>
      <x:c r="F10" s="51" t="n">
        <x:v>0.23333333333333334</x:v>
      </x:c>
    </x:row>
    <x:row r="11">
      <x:c r="A11" s="18" t="str">
        <x:v>ADS</x:v>
      </x:c>
      <x:c r="B11" s="19" t="str">
        <x:v>Involuntary</x:v>
      </x:c>
      <x:c r="C11" s="19" t="str">
        <x:v>-3 Meses</x:v>
      </x:c>
      <x:c r="D11" s="31" t="n">
        <x:v>1</x:v>
      </x:c>
      <x:c r="E11" s="49" t="n">
        <x:v>0.021739130434782608</x:v>
      </x:c>
      <x:c r="F11" s="51" t="n">
        <x:v>0.11666666666666667</x:v>
      </x:c>
    </x:row>
    <x:row r="12">
      <x:c r="A12" s="18" t="str">
        <x:v>CEC</x:v>
      </x:c>
      <x:c r="B12" s="19" t="str">
        <x:v>Voluntary</x:v>
      </x:c>
      <x:c r="C12" s="19" t="str">
        <x:v>+ 6 Meses</x:v>
      </x:c>
      <x:c r="D12" s="31" t="n">
        <x:v>5</x:v>
      </x:c>
      <x:c r="E12" s="49" t="n">
        <x:v>0.2631578947368421</x:v>
      </x:c>
      <x:c r="F12" s="51" t="n">
        <x:v>0.5833333333333333</x:v>
      </x:c>
    </x:row>
    <x:row r="13">
      <x:c r="A13" s="18" t="str">
        <x:v>CEC</x:v>
      </x:c>
      <x:c r="B13" s="19" t="str">
        <x:v>Involuntary</x:v>
      </x:c>
      <x:c r="C13" s="19" t="str">
        <x:v>+ 6 Meses</x:v>
      </x:c>
      <x:c r="D13" s="31" t="n">
        <x:v>5</x:v>
      </x:c>
      <x:c r="E13" s="49" t="n">
        <x:v>0.2631578947368421</x:v>
      </x:c>
      <x:c r="F13" s="51" t="n">
        <x:v>0.5833333333333333</x:v>
      </x:c>
    </x:row>
    <x:row r="14">
      <x:c r="A14" s="18" t="str">
        <x:v>CEC</x:v>
      </x:c>
      <x:c r="B14" s="19" t="str">
        <x:v>Voluntary</x:v>
      </x:c>
      <x:c r="C14" s="19" t="str">
        <x:v>3-6 Meses</x:v>
      </x:c>
      <x:c r="D14" s="31" t="n">
        <x:v>3</x:v>
      </x:c>
      <x:c r="E14" s="49" t="n">
        <x:v>0.15789473684210525</x:v>
      </x:c>
      <x:c r="F14" s="51" t="n">
        <x:v>0.35000000000000003</x:v>
      </x:c>
    </x:row>
    <x:row r="15">
      <x:c r="A15" s="18" t="str">
        <x:v>CEC</x:v>
      </x:c>
      <x:c r="B15" s="19" t="str">
        <x:v>Involuntary</x:v>
      </x:c>
      <x:c r="C15" s="19" t="str">
        <x:v>3-6 Meses</x:v>
      </x:c>
      <x:c r="D15" s="31" t="n">
        <x:v>3</x:v>
      </x:c>
      <x:c r="E15" s="49" t="n">
        <x:v>0.15789473684210525</x:v>
      </x:c>
      <x:c r="F15" s="51" t="n">
        <x:v>0.35000000000000003</x:v>
      </x:c>
    </x:row>
    <x:row r="16">
      <x:c r="A16" s="18" t="str">
        <x:v>CEC</x:v>
      </x:c>
      <x:c r="B16" s="19" t="str">
        <x:v>Involuntary</x:v>
      </x:c>
      <x:c r="C16" s="19" t="str">
        <x:v>-3 Meses</x:v>
      </x:c>
      <x:c r="D16" s="31" t="n">
        <x:v>2</x:v>
      </x:c>
      <x:c r="E16" s="49" t="n">
        <x:v>0.10526315789473684</x:v>
      </x:c>
      <x:c r="F16" s="51" t="n">
        <x:v>0.23333333333333334</x:v>
      </x:c>
    </x:row>
    <x:row r="17">
      <x:c r="A17" s="18" t="str">
        <x:v>CEC</x:v>
      </x:c>
      <x:c r="B17" s="19" t="str">
        <x:v>Voluntary</x:v>
      </x:c>
      <x:c r="C17" s="19" t="str">
        <x:v>-3 Meses</x:v>
      </x:c>
      <x:c r="D17" s="31" t="n">
        <x:v>1</x:v>
      </x:c>
      <x:c r="E17" s="49" t="n">
        <x:v>0.05263157894736842</x:v>
      </x:c>
      <x:c r="F17" s="51" t="n">
        <x:v>0.11666666666666667</x:v>
      </x:c>
    </x:row>
    <x:row r="18">
      <x:c r="A18" s="18" t="str">
        <x:v>Comments</x:v>
      </x:c>
      <x:c r="B18" s="19" t="str">
        <x:v>Voluntary</x:v>
      </x:c>
      <x:c r="C18" s="19" t="str">
        <x:v>+ 6 Meses</x:v>
      </x:c>
      <x:c r="D18" s="31" t="n">
        <x:v>1</x:v>
      </x:c>
      <x:c r="E18" s="49" t="n">
        <x:v>1</x:v>
      </x:c>
      <x:c r="F18" s="51" t="n">
        <x:v>0.11666666666666667</x:v>
      </x:c>
    </x:row>
    <x:row r="19">
      <x:c r="A19" s="18" t="str">
        <x:v>Video</x:v>
      </x:c>
      <x:c r="B19" s="19" t="str">
        <x:v>Involuntary</x:v>
      </x:c>
      <x:c r="C19" s="19" t="str">
        <x:v>+ 6 Meses</x:v>
      </x:c>
      <x:c r="D19" s="31" t="n">
        <x:v>6</x:v>
      </x:c>
      <x:c r="E19" s="49" t="n">
        <x:v>0.3333333333333333</x:v>
      </x:c>
      <x:c r="F19" s="51" t="n">
        <x:v>0.7000000000000001</x:v>
      </x:c>
    </x:row>
    <x:row r="20">
      <x:c r="A20" s="18" t="str">
        <x:v>Video</x:v>
      </x:c>
      <x:c r="B20" s="19" t="str">
        <x:v>Voluntary</x:v>
      </x:c>
      <x:c r="C20" s="19" t="str">
        <x:v>+ 6 Meses</x:v>
      </x:c>
      <x:c r="D20" s="31" t="n">
        <x:v>6</x:v>
      </x:c>
      <x:c r="E20" s="49" t="n">
        <x:v>0.3333333333333333</x:v>
      </x:c>
      <x:c r="F20" s="51" t="n">
        <x:v>0.7000000000000001</x:v>
      </x:c>
    </x:row>
    <x:row r="21">
      <x:c r="A21" s="18" t="str">
        <x:v>Video</x:v>
      </x:c>
      <x:c r="B21" s="19" t="str">
        <x:v>Voluntary</x:v>
      </x:c>
      <x:c r="C21" s="19" t="str">
        <x:v>3-6 Meses</x:v>
      </x:c>
      <x:c r="D21" s="31" t="n">
        <x:v>3</x:v>
      </x:c>
      <x:c r="E21" s="49" t="n">
        <x:v>0.16666666666666666</x:v>
      </x:c>
      <x:c r="F21" s="51" t="n">
        <x:v>0.35000000000000003</x:v>
      </x:c>
    </x:row>
    <x:row r="22">
      <x:c r="A22" s="18" t="str">
        <x:v>Video</x:v>
      </x:c>
      <x:c r="B22" s="19" t="str">
        <x:v>Involuntary</x:v>
      </x:c>
      <x:c r="C22" s="19" t="str">
        <x:v>3-6 Meses</x:v>
      </x:c>
      <x:c r="D22" s="31" t="n">
        <x:v>1</x:v>
      </x:c>
      <x:c r="E22" s="49" t="n">
        <x:v>0.05555555555555555</x:v>
      </x:c>
      <x:c r="F22" s="51" t="n">
        <x:v>0.11666666666666667</x:v>
      </x:c>
    </x:row>
    <x:row r="23">
      <x:c r="A23" s="18" t="str">
        <x:v>Video</x:v>
      </x:c>
      <x:c r="B23" s="19" t="str">
        <x:v>Voluntary</x:v>
      </x:c>
      <x:c r="C23" s="19" t="str">
        <x:v>-3 Meses</x:v>
      </x:c>
      <x:c r="D23" s="31" t="n">
        <x:v>1</x:v>
      </x:c>
      <x:c r="E23" s="49" t="n">
        <x:v>0.05555555555555555</x:v>
      </x:c>
      <x:c r="F23" s="51" t="n">
        <x:v>0.11666666666666667</x:v>
      </x:c>
    </x:row>
    <x:row r="24">
      <x:c r="A24" s="21" t="str">
        <x:v>Video</x:v>
      </x:c>
      <x:c r="B24" s="22" t="str">
        <x:v>Involuntary</x:v>
      </x:c>
      <x:c r="C24" s="22" t="str">
        <x:v>-3 Meses</x:v>
      </x:c>
      <x:c r="D24" s="48" t="n">
        <x:v>1</x:v>
      </x:c>
      <x:c r="E24" s="50" t="n">
        <x:v>0.05555555555555555</x:v>
      </x:c>
      <x:c r="F24" s="52" t="n">
        <x:v>0.11666666666666667</x:v>
      </x:c>
    </x:row>
  </x:sheetData>
  <x:mergeCells>
    <x:mergeCell ref="A1:F1"/>
  </x:mergeCells>
  <x:conditionalFormatting sqref="F4:F24">
    <x:cfRule type="dataBar" priority="1">
      <x:dataBar>
        <x:cfvo type="min"/>
        <x:cfvo type="max"/>
        <x:color rgb="6AA6A0"/>
      </x:dataBar>
      <x:extLst>
        <x:ext xmlns:x14="http://schemas.microsoft.com/office/spreadsheetml/2009/9/main" uri="{B025F937-C7B1-47D3-B67F-A62EFF666E3E}">
          <x14:id>{A7546245-C620-2624-5A3F-ACD3EAC46140}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546245-C620-2624-5A3F-ACD3EAC46140}">
            <x14:dataBar gradient="1">
              <x14:cfvo type="min"/>
              <x14:cfvo type="max"/>
              <x14:fillColor rgb="6AA6A0"/>
            </x14:dataBar>
          </x14:cfRule>
          <xm:sqref>F4:F24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70000076293945" hidden="0" customWidth="1"/>
    <x:col min="2" max="2" width="9.449999809265137" hidden="0" customWidth="1"/>
    <x:col min="3" max="3" width="9.449999809265137" hidden="0" customWidth="1"/>
    <x:col min="4" max="4" width="10.670000076293945" hidden="0" customWidth="1"/>
    <x:col min="5" max="5" width="9.449999809265137" hidden="0" customWidth="1"/>
    <x:col min="6" max="6" width="9.449999809265137" hidden="0" customWidth="1"/>
  </x:cols>
  <x:sheetData>
    <x:row r="1" ht="25.5" customHeight="1">
      <x:c r="A1" s="4" t="str">
        <x:v>Historico mensal de desligamentos</x:v>
      </x:c>
      <x:c r="B1" s="4" t="str">
        <x:v>Historico mensal de desligamentos</x:v>
      </x:c>
      <x:c r="C1" s="4" t="str">
        <x:v>Historico mensal de desligamentos</x:v>
      </x:c>
      <x:c r="D1" s="4" t="str">
        <x:v>Historico mensal de desligamentos</x:v>
      </x:c>
      <x:c r="E1" s="4" t="str">
        <x:v>Historico mensal de desligamentos</x:v>
      </x:c>
      <x:c r="F1" s="4" t="str">
        <x:v>Historico mensal de desligamentos</x:v>
      </x:c>
    </x:row>
    <x:row r="3">
      <x:c r="A3" s="37" t="str">
        <x:v>Mes</x:v>
      </x:c>
      <x:c r="B3" s="38" t="str">
        <x:v>ADS</x:v>
      </x:c>
      <x:c r="C3" s="38" t="str">
        <x:v>CEC</x:v>
      </x:c>
      <x:c r="D3" s="38" t="str">
        <x:v>Comments</x:v>
      </x:c>
      <x:c r="E3" s="38" t="str">
        <x:v>Video</x:v>
      </x:c>
      <x:c r="F3" s="39" t="str">
        <x:v>Total</x:v>
      </x:c>
    </x:row>
    <x:row r="4">
      <x:c r="A4" s="18" t="str">
        <x:v>2026-01</x:v>
      </x:c>
      <x:c r="B4" s="31" t="n">
        <x:v>12</x:v>
      </x:c>
      <x:c r="C4" s="31" t="n">
        <x:v>6</x:v>
      </x:c>
      <x:c r="D4" s="31" t="n">
        <x:v>0</x:v>
      </x:c>
      <x:c r="E4" s="31" t="n">
        <x:v>5</x:v>
      </x:c>
      <x:c r="F4" s="53" t="n">
        <x:v>23</x:v>
      </x:c>
    </x:row>
    <x:row r="5">
      <x:c r="A5" s="18" t="str">
        <x:v>2026-02</x:v>
      </x:c>
      <x:c r="B5" s="31" t="n">
        <x:v>9</x:v>
      </x:c>
      <x:c r="C5" s="31" t="n">
        <x:v>5</x:v>
      </x:c>
      <x:c r="D5" s="31" t="n">
        <x:v>1</x:v>
      </x:c>
      <x:c r="E5" s="31" t="n">
        <x:v>6</x:v>
      </x:c>
      <x:c r="F5" s="53" t="n">
        <x:v>21</x:v>
      </x:c>
    </x:row>
    <x:row r="6">
      <x:c r="A6" s="18" t="str">
        <x:v>2026-03</x:v>
      </x:c>
      <x:c r="B6" s="31" t="n">
        <x:v>14</x:v>
      </x:c>
      <x:c r="C6" s="31" t="n">
        <x:v>4</x:v>
      </x:c>
      <x:c r="D6" s="31" t="n">
        <x:v>0</x:v>
      </x:c>
      <x:c r="E6" s="31" t="n">
        <x:v>4</x:v>
      </x:c>
      <x:c r="F6" s="53" t="n">
        <x:v>22</x:v>
      </x:c>
    </x:row>
    <x:row r="7">
      <x:c r="A7" s="18" t="str">
        <x:v>2026-04</x:v>
      </x:c>
      <x:c r="B7" s="31" t="n">
        <x:v>11</x:v>
      </x:c>
      <x:c r="C7" s="31" t="n">
        <x:v>4</x:v>
      </x:c>
      <x:c r="D7" s="31" t="n">
        <x:v>0</x:v>
      </x:c>
      <x:c r="E7" s="31" t="n">
        <x:v>3</x:v>
      </x:c>
      <x:c r="F7" s="53" t="n">
        <x:v>18</x:v>
      </x:c>
    </x:row>
    <x:row r="8">
      <x:c r="A8" s="21" t="str">
        <x:v>2026-05</x:v>
      </x:c>
      <x:c r="B8" s="48" t="n">
        <x:v>2</x:v>
      </x:c>
      <x:c r="C8" s="48" t="n">
        <x:v>1</x:v>
      </x:c>
      <x:c r="D8" s="48" t="n">
        <x:v>1</x:v>
      </x:c>
      <x:c r="E8" s="48" t="n">
        <x:v>1</x:v>
      </x:c>
      <x:c r="F8" s="54" t="n">
        <x:v>5</x:v>
      </x:c>
    </x:row>
    <x:row r="10" ht="24" customHeight="1">
      <x:c r="A10" s="56" t="str">
        <x:v>Nota: Maio esta parcial na base; ultimo desligamento em 2026-05-13. Por isso, Jan-Abr foi usado como baseline de taxa diaria.</x:v>
      </x:c>
      <x:c r="B10" s="56"/>
      <x:c r="C10" s="56"/>
      <x:c r="D10" s="56"/>
      <x:c r="E10" s="56"/>
      <x:c r="F10" s="56"/>
    </x:row>
    <x:row r="11" ht="24" customHeight="1">
      <x:c r="A11" s="56"/>
      <x:c r="B11" s="56"/>
      <x:c r="C11" s="56"/>
      <x:c r="D11" s="56"/>
      <x:c r="E11" s="56"/>
      <x:c r="F11" s="56"/>
    </x:row>
  </x:sheetData>
  <x:mergeCells>
    <x:mergeCell ref="A1:F1"/>
    <x:mergeCell ref="A10:F11"/>
  </x:mergeCells>
  <x:pageMargins left="0.7" right="0.7" top="0.75" bottom="0.75" header="0.3" footer="0.3"/>
  <x:drawing xmlns:r="http://schemas.openxmlformats.org/officeDocument/2006/relationships" r:id="Rf503dbe41c794bd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10000610351562" hidden="0" customWidth="1"/>
    <x:col min="2" max="2" width="13.869999885559082" hidden="0" customWidth="1"/>
    <x:col min="3" max="3" width="34.970001220703125" hidden="0" customWidth="1"/>
    <x:col min="4" max="4" width="2.3299999237060547" hidden="0" customWidth="1"/>
  </x:cols>
  <x:sheetData>
    <x:row r="1" ht="25.5" customHeight="1">
      <x:c r="A1" s="4" t="str">
        <x:v>Premissas do modelo</x:v>
      </x:c>
      <x:c r="B1" s="4" t="str">
        <x:v>Premissas do modelo</x:v>
      </x:c>
      <x:c r="C1" s="4" t="str">
        <x:v>Premissas do modelo</x:v>
      </x:c>
      <x:c r="D1" s="4" t="str">
        <x:v>Premissas do modelo</x:v>
      </x:c>
    </x:row>
    <x:row r="2">
      <x:c r="A2" s="12" t="str">
        <x:v>Premissa</x:v>
      </x:c>
      <x:c r="B2" s="13" t="str">
        <x:v>Valor</x:v>
      </x:c>
      <x:c r="C2" s="13" t="str">
        <x:v>Comentario</x:v>
      </x:c>
      <x:c r="D2" s="14" t="str"/>
    </x:row>
    <x:row r="3">
      <x:c r="A3" s="15" t="str">
        <x:v>Data atual / ponto de partida</x:v>
      </x:c>
      <x:c r="B3" s="57" t="n">
        <x:v>46159</x:v>
      </x:c>
      <x:c r="C3" s="16" t="str">
        <x:v>HC atual informado pelo usuario</x:v>
      </x:c>
      <x:c r="D3" s="17"/>
    </x:row>
    <x:row r="4">
      <x:c r="A4" s="18" t="str">
        <x:v>Fim da projecao</x:v>
      </x:c>
      <x:c r="B4" s="36" t="n">
        <x:v>46173</x:v>
      </x:c>
      <x:c r="C4" s="19" t="str">
        <x:v>Fim do mes de Maio/2026</x:v>
      </x:c>
      <x:c r="D4" s="20"/>
    </x:row>
    <x:row r="5">
      <x:c r="A5" s="18" t="str">
        <x:v>Baseline historico inicio</x:v>
      </x:c>
      <x:c r="B5" s="36" t="n">
        <x:v>46023</x:v>
      </x:c>
      <x:c r="C5" s="19" t="str">
        <x:v>Periodo cheio usado na taxa</x:v>
      </x:c>
      <x:c r="D5" s="20"/>
    </x:row>
    <x:row r="6">
      <x:c r="A6" s="18" t="str">
        <x:v>Baseline historico fim</x:v>
      </x:c>
      <x:c r="B6" s="36" t="n">
        <x:v>46142</x:v>
      </x:c>
      <x:c r="C6" s="19" t="str">
        <x:v>Maio fica fora da taxa por estar parcial</x:v>
      </x:c>
      <x:c r="D6" s="20"/>
    </x:row>
    <x:row r="7">
      <x:c r="A7" s="18" t="str">
        <x:v>Dias historico baseline</x:v>
      </x:c>
      <x:c r="B7" s="31" t="n">
        <x:v>120</x:v>
      </x:c>
      <x:c r="C7" s="19" t="str">
        <x:v>Jan-Abr/2026</x:v>
      </x:c>
      <x:c r="D7" s="20"/>
    </x:row>
    <x:row r="8">
      <x:c r="A8" s="18" t="str">
        <x:v>Dias projetados apos ponto de partida</x:v>
      </x:c>
      <x:c r="B8" s="31" t="n">
        <x:v>14</x:v>
      </x:c>
      <x:c r="C8" s="19" t="str">
        <x:v>18/05/2026 a 31/05/2026</x:v>
      </x:c>
      <x:c r="D8" s="20"/>
    </x:row>
    <x:row r="9">
      <x:c r="A9" s="18" t="str">
        <x:v>Attrition no treinamento</x:v>
      </x:c>
      <x:c r="B9" s="49" t="n">
        <x:v>0.4</x:v>
      </x:c>
      <x:c r="C9" s="19" t="str">
        <x:v>Premissa do usuario</x:v>
      </x:c>
      <x:c r="D9" s="20"/>
    </x:row>
    <x:row r="10">
      <x:c r="A10" s="21" t="str">
        <x:v>Completion esperado treinamento</x:v>
      </x:c>
      <x:c r="B10" s="50" t="n">
        <x:v>0.6</x:v>
      </x:c>
      <x:c r="C10" s="22" t="str">
        <x:v>1 - attrition treinamento</x:v>
      </x:c>
      <x:c r="D10" s="23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9.9399995803833" hidden="0" customWidth="1"/>
    <x:col min="3" max="3" width="13.130000114440918" hidden="0" customWidth="1"/>
    <x:col min="4" max="4" width="13.130000114440918" hidden="0" customWidth="1"/>
    <x:col min="5" max="5" width="11.170000076293945" hidden="0" customWidth="1"/>
    <x:col min="6" max="6" width="11.170000076293945" hidden="0" customWidth="1"/>
    <x:col min="7" max="7" width="10.670000076293945" hidden="0" customWidth="1"/>
  </x:cols>
  <x:sheetData>
    <x:row r="1" ht="25.5" customHeight="1">
      <x:c r="A1" s="4" t="str">
        <x:v>Base historica limpa</x:v>
      </x:c>
      <x:c r="B1" s="4" t="str">
        <x:v>Base historica limpa</x:v>
      </x:c>
      <x:c r="C1" s="4" t="str">
        <x:v>Base historica limpa</x:v>
      </x:c>
      <x:c r="D1" s="4" t="str">
        <x:v>Base historica limpa</x:v>
      </x:c>
      <x:c r="E1" s="4" t="str">
        <x:v>Base historica limpa</x:v>
      </x:c>
      <x:c r="F1" s="4" t="str">
        <x:v>Base historica limpa</x:v>
      </x:c>
      <x:c r="G1" s="4" t="str">
        <x:v>Base historica limpa</x:v>
      </x:c>
    </x:row>
    <x:row r="3">
      <x:c r="A3" s="37" t="str">
        <x:v>Wb</x:v>
      </x:c>
      <x:c r="B3" s="38" t="str">
        <x:v>Wave</x:v>
      </x:c>
      <x:c r="C3" s="38" t="str">
        <x:v>Type of Resign</x:v>
      </x:c>
      <x:c r="D3" s="38" t="str">
        <x:v>Tenure</x:v>
      </x:c>
      <x:c r="E3" s="38" t="str">
        <x:v>Hired</x:v>
      </x:c>
      <x:c r="F3" s="38" t="str">
        <x:v>Resign</x:v>
      </x:c>
      <x:c r="G3" s="39" t="str">
        <x:v>LOB</x:v>
      </x:c>
    </x:row>
    <x:row r="4">
      <x:c r="A4" s="18" t="str">
        <x:v>wb_vanessam</x:v>
      </x:c>
      <x:c r="B4" s="19" t="str">
        <x:v>Wave 29</x:v>
      </x:c>
      <x:c r="C4" s="19" t="str">
        <x:v>Involuntary</x:v>
      </x:c>
      <x:c r="D4" s="19" t="str">
        <x:v>3-6 Meses</x:v>
      </x:c>
      <x:c r="E4" s="36" t="n">
        <x:v>46006</x:v>
      </x:c>
      <x:c r="F4" s="36" t="n">
        <x:v>46023</x:v>
      </x:c>
      <x:c r="G4" s="20" t="str">
        <x:v>ADS</x:v>
      </x:c>
    </x:row>
    <x:row r="5">
      <x:c r="A5" s="18" t="str">
        <x:v>wb_douglas08</x:v>
      </x:c>
      <x:c r="B5" s="19" t="str">
        <x:v>Wave 8</x:v>
      </x:c>
      <x:c r="C5" s="19" t="str">
        <x:v>Voluntary</x:v>
      </x:c>
      <x:c r="D5" s="19" t="str">
        <x:v>+ 12 Meses</x:v>
      </x:c>
      <x:c r="E5" s="36" t="n">
        <x:v>45614</x:v>
      </x:c>
      <x:c r="F5" s="36" t="n">
        <x:v>46024</x:v>
      </x:c>
      <x:c r="G5" s="20" t="str">
        <x:v>ADS</x:v>
      </x:c>
    </x:row>
    <x:row r="6">
      <x:c r="A6" s="18" t="str">
        <x:v>wb_cassia</x:v>
      </x:c>
      <x:c r="B6" s="19" t="str">
        <x:v>Wave 26</x:v>
      </x:c>
      <x:c r="C6" s="19" t="str">
        <x:v>Involuntary</x:v>
      </x:c>
      <x:c r="D6" s="19" t="str">
        <x:v>+ 6 Meses</x:v>
      </x:c>
      <x:c r="E6" s="36" t="n">
        <x:v>45887</x:v>
      </x:c>
      <x:c r="F6" s="36" t="n">
        <x:v>46028</x:v>
      </x:c>
      <x:c r="G6" s="20" t="str">
        <x:v>ADS</x:v>
      </x:c>
    </x:row>
    <x:row r="7">
      <x:c r="A7" s="18" t="str">
        <x:v>wb_leonardo16</x:v>
      </x:c>
      <x:c r="B7" s="19" t="str">
        <x:v>Wave 22</x:v>
      </x:c>
      <x:c r="C7" s="19" t="str">
        <x:v>Involuntary</x:v>
      </x:c>
      <x:c r="D7" s="19" t="str">
        <x:v>+ 6 Meses</x:v>
      </x:c>
      <x:c r="E7" s="36" t="n">
        <x:v>45824</x:v>
      </x:c>
      <x:c r="F7" s="36" t="n">
        <x:v>46028</x:v>
      </x:c>
      <x:c r="G7" s="20" t="str">
        <x:v>ADS</x:v>
      </x:c>
    </x:row>
    <x:row r="8">
      <x:c r="A8" s="18" t="str">
        <x:v>wb_clara03</x:v>
      </x:c>
      <x:c r="B8" s="19" t="str">
        <x:v>Wave 26</x:v>
      </x:c>
      <x:c r="C8" s="19" t="str">
        <x:v>Voluntary</x:v>
      </x:c>
      <x:c r="D8" s="19" t="str">
        <x:v>+ 6 Meses</x:v>
      </x:c>
      <x:c r="E8" s="36" t="n">
        <x:v>45887</x:v>
      </x:c>
      <x:c r="F8" s="36" t="n">
        <x:v>46037</x:v>
      </x:c>
      <x:c r="G8" s="20" t="str">
        <x:v>ADS</x:v>
      </x:c>
    </x:row>
    <x:row r="9">
      <x:c r="A9" s="18" t="str">
        <x:v>wb_diogo03</x:v>
      </x:c>
      <x:c r="B9" s="19" t="str">
        <x:v>Wave 13</x:v>
      </x:c>
      <x:c r="C9" s="19" t="str">
        <x:v>Involuntary</x:v>
      </x:c>
      <x:c r="D9" s="19" t="str">
        <x:v>+ 12 Meses</x:v>
      </x:c>
      <x:c r="E9" s="36" t="n">
        <x:v>45691</x:v>
      </x:c>
      <x:c r="F9" s="36" t="n">
        <x:v>46038</x:v>
      </x:c>
      <x:c r="G9" s="20" t="str">
        <x:v>ADS</x:v>
      </x:c>
    </x:row>
    <x:row r="10">
      <x:c r="A10" s="18" t="str">
        <x:v>wb_otavio</x:v>
      </x:c>
      <x:c r="B10" s="19" t="str">
        <x:v>Wave 15</x:v>
      </x:c>
      <x:c r="C10" s="19" t="str">
        <x:v>Involuntary</x:v>
      </x:c>
      <x:c r="D10" s="19" t="str">
        <x:v>+ 12 Meses</x:v>
      </x:c>
      <x:c r="E10" s="36" t="n">
        <x:v>45712</x:v>
      </x:c>
      <x:c r="F10" s="36" t="n">
        <x:v>46038</x:v>
      </x:c>
      <x:c r="G10" s="20" t="str">
        <x:v>ADS</x:v>
      </x:c>
    </x:row>
    <x:row r="11">
      <x:c r="A11" s="18" t="str">
        <x:v>wb_caio10</x:v>
      </x:c>
      <x:c r="B11" s="19" t="str">
        <x:v>Wave 16</x:v>
      </x:c>
      <x:c r="C11" s="19" t="str">
        <x:v>Involuntary</x:v>
      </x:c>
      <x:c r="D11" s="19" t="str">
        <x:v>+ 12 Meses</x:v>
      </x:c>
      <x:c r="E11" s="36" t="n">
        <x:v>45726</x:v>
      </x:c>
      <x:c r="F11" s="36" t="n">
        <x:v>46050</x:v>
      </x:c>
      <x:c r="G11" s="20" t="str">
        <x:v>ADS</x:v>
      </x:c>
    </x:row>
    <x:row r="12">
      <x:c r="A12" s="18" t="str">
        <x:v>wb_geovanni</x:v>
      </x:c>
      <x:c r="B12" s="19" t="str">
        <x:v>Wave 20</x:v>
      </x:c>
      <x:c r="C12" s="19" t="str">
        <x:v>Involuntary</x:v>
      </x:c>
      <x:c r="D12" s="19" t="str">
        <x:v>+ 12 Meses</x:v>
      </x:c>
      <x:c r="E12" s="36" t="n">
        <x:v>45782</x:v>
      </x:c>
      <x:c r="F12" s="36" t="n">
        <x:v>46050</x:v>
      </x:c>
      <x:c r="G12" s="20" t="str">
        <x:v>ADS</x:v>
      </x:c>
    </x:row>
    <x:row r="13">
      <x:c r="A13" s="18" t="str">
        <x:v>wb_sidney</x:v>
      </x:c>
      <x:c r="B13" s="19" t="str">
        <x:v>Wave 14</x:v>
      </x:c>
      <x:c r="C13" s="19" t="str">
        <x:v>Involuntary</x:v>
      </x:c>
      <x:c r="D13" s="19" t="str">
        <x:v>+ 12 Meses</x:v>
      </x:c>
      <x:c r="E13" s="36" t="n">
        <x:v>45698</x:v>
      </x:c>
      <x:c r="F13" s="36" t="n">
        <x:v>46050</x:v>
      </x:c>
      <x:c r="G13" s="20" t="str">
        <x:v>ADS</x:v>
      </x:c>
    </x:row>
    <x:row r="14">
      <x:c r="A14" s="18" t="str">
        <x:v>wb_camila19</x:v>
      </x:c>
      <x:c r="B14" s="19" t="str">
        <x:v>Wave 8</x:v>
      </x:c>
      <x:c r="C14" s="19" t="str">
        <x:v>Voluntary</x:v>
      </x:c>
      <x:c r="D14" s="19" t="str">
        <x:v>+ 12 Meses</x:v>
      </x:c>
      <x:c r="E14" s="36" t="n">
        <x:v>45614</x:v>
      </x:c>
      <x:c r="F14" s="36" t="n">
        <x:v>46052</x:v>
      </x:c>
      <x:c r="G14" s="20" t="str">
        <x:v>ADS</x:v>
      </x:c>
    </x:row>
    <x:row r="15">
      <x:c r="A15" s="18" t="str">
        <x:v>wb_ray</x:v>
      </x:c>
      <x:c r="B15" s="19" t="str">
        <x:v>Wave 14</x:v>
      </x:c>
      <x:c r="C15" s="19" t="str">
        <x:v>Voluntary</x:v>
      </x:c>
      <x:c r="D15" s="19" t="str">
        <x:v>+ 12 Meses</x:v>
      </x:c>
      <x:c r="E15" s="36" t="n">
        <x:v>45698</x:v>
      </x:c>
      <x:c r="F15" s="36" t="n">
        <x:v>46053</x:v>
      </x:c>
      <x:c r="G15" s="20" t="str">
        <x:v>ADS</x:v>
      </x:c>
    </x:row>
    <x:row r="16">
      <x:c r="A16" s="18" t="str">
        <x:v>wb_abispo</x:v>
      </x:c>
      <x:c r="B16" s="19" t="str">
        <x:v>Wave 27</x:v>
      </x:c>
      <x:c r="C16" s="19" t="str">
        <x:v>Voluntary</x:v>
      </x:c>
      <x:c r="D16" s="19" t="str">
        <x:v>+ 6 Meses</x:v>
      </x:c>
      <x:c r="E16" s="36" t="n">
        <x:v>45974</x:v>
      </x:c>
      <x:c r="F16" s="36" t="n">
        <x:v>46054</x:v>
      </x:c>
      <x:c r="G16" s="20" t="str">
        <x:v>ADS</x:v>
      </x:c>
    </x:row>
    <x:row r="17">
      <x:c r="A17" s="18" t="str">
        <x:v>wb_monaise</x:v>
      </x:c>
      <x:c r="B17" s="19" t="str">
        <x:v>Wave 29</x:v>
      </x:c>
      <x:c r="C17" s="19" t="str">
        <x:v>Voluntary</x:v>
      </x:c>
      <x:c r="D17" s="19" t="str">
        <x:v>3-6 Meses</x:v>
      </x:c>
      <x:c r="E17" s="36" t="n">
        <x:v>46006</x:v>
      </x:c>
      <x:c r="F17" s="36" t="n">
        <x:v>46058</x:v>
      </x:c>
      <x:c r="G17" s="20" t="str">
        <x:v>ADS</x:v>
      </x:c>
    </x:row>
    <x:row r="18">
      <x:c r="A18" s="18" t="str">
        <x:v>wb_ana47</x:v>
      </x:c>
      <x:c r="B18" s="19" t="str">
        <x:v>Wave 26</x:v>
      </x:c>
      <x:c r="C18" s="19" t="str">
        <x:v>Involuntary</x:v>
      </x:c>
      <x:c r="D18" s="19" t="str">
        <x:v>+ 6 Meses</x:v>
      </x:c>
      <x:c r="E18" s="36" t="n">
        <x:v>45887</x:v>
      </x:c>
      <x:c r="F18" s="36" t="n">
        <x:v>46062</x:v>
      </x:c>
      <x:c r="G18" s="20" t="str">
        <x:v>ADS</x:v>
      </x:c>
    </x:row>
    <x:row r="19">
      <x:c r="A19" s="18" t="str">
        <x:v>wb_murilos </x:v>
      </x:c>
      <x:c r="B19" s="19" t="str">
        <x:v>Wave 31</x:v>
      </x:c>
      <x:c r="C19" s="19" t="str">
        <x:v>Voluntary</x:v>
      </x:c>
      <x:c r="D19" s="19" t="str">
        <x:v>3-6 Meses</x:v>
      </x:c>
      <x:c r="E19" s="36" t="n">
        <x:v>46056</x:v>
      </x:c>
      <x:c r="F19" s="36" t="n">
        <x:v>46063</x:v>
      </x:c>
      <x:c r="G19" s="20" t="str">
        <x:v>ADS</x:v>
      </x:c>
    </x:row>
    <x:row r="20">
      <x:c r="A20" s="18" t="str">
        <x:v>wb_otaviob</x:v>
      </x:c>
      <x:c r="B20" s="19" t="str">
        <x:v>Wave 31</x:v>
      </x:c>
      <x:c r="C20" s="19" t="str">
        <x:v>Voluntary</x:v>
      </x:c>
      <x:c r="D20" s="19" t="str">
        <x:v>3-6 Meses</x:v>
      </x:c>
      <x:c r="E20" s="36" t="n">
        <x:v>46056</x:v>
      </x:c>
      <x:c r="F20" s="36" t="n">
        <x:v>46063</x:v>
      </x:c>
      <x:c r="G20" s="20" t="str">
        <x:v>ADS</x:v>
      </x:c>
    </x:row>
    <x:row r="21">
      <x:c r="A21" s="18" t="str">
        <x:v>wb_andre15</x:v>
      </x:c>
      <x:c r="B21" s="19" t="str">
        <x:v>Wave 15</x:v>
      </x:c>
      <x:c r="C21" s="19" t="str">
        <x:v>Involuntary</x:v>
      </x:c>
      <x:c r="D21" s="19" t="str">
        <x:v>+ 12 Meses</x:v>
      </x:c>
      <x:c r="E21" s="36" t="n">
        <x:v>45712</x:v>
      </x:c>
      <x:c r="F21" s="36" t="n">
        <x:v>46064</x:v>
      </x:c>
      <x:c r="G21" s="20" t="str">
        <x:v>ADS</x:v>
      </x:c>
    </x:row>
    <x:row r="22">
      <x:c r="A22" s="18" t="str">
        <x:v>wb_larissa12</x:v>
      </x:c>
      <x:c r="B22" s="19" t="str">
        <x:v>Wave 6</x:v>
      </x:c>
      <x:c r="C22" s="19" t="str">
        <x:v>Involuntary</x:v>
      </x:c>
      <x:c r="D22" s="19" t="str">
        <x:v>+ 12 Meses</x:v>
      </x:c>
      <x:c r="E22" s="36" t="n">
        <x:v>45566</x:v>
      </x:c>
      <x:c r="F22" s="36" t="n">
        <x:v>46066</x:v>
      </x:c>
      <x:c r="G22" s="20" t="str">
        <x:v>ADS</x:v>
      </x:c>
    </x:row>
    <x:row r="23">
      <x:c r="A23" s="18" t="str">
        <x:v>wb_kauan03</x:v>
      </x:c>
      <x:c r="B23" s="19" t="str">
        <x:v>Wave 20</x:v>
      </x:c>
      <x:c r="C23" s="19" t="str">
        <x:v>Involuntary</x:v>
      </x:c>
      <x:c r="D23" s="19" t="str">
        <x:v>+ 12 Meses</x:v>
      </x:c>
      <x:c r="E23" s="36" t="n">
        <x:v>45782</x:v>
      </x:c>
      <x:c r="F23" s="36" t="n">
        <x:v>46072</x:v>
      </x:c>
      <x:c r="G23" s="20" t="str">
        <x:v>ADS</x:v>
      </x:c>
    </x:row>
    <x:row r="24">
      <x:c r="A24" s="18" t="str">
        <x:v>wb_daniloa</x:v>
      </x:c>
      <x:c r="B24" s="19" t="str">
        <x:v>Wave 31</x:v>
      </x:c>
      <x:c r="C24" s="19" t="str">
        <x:v>Voluntary</x:v>
      </x:c>
      <x:c r="D24" s="19" t="str">
        <x:v>3-6 Meses</x:v>
      </x:c>
      <x:c r="E24" s="36" t="n">
        <x:v>46056</x:v>
      </x:c>
      <x:c r="F24" s="36" t="n">
        <x:v>46076</x:v>
      </x:c>
      <x:c r="G24" s="20" t="str">
        <x:v>ADS</x:v>
      </x:c>
    </x:row>
    <x:row r="25">
      <x:c r="A25" s="18" t="str">
        <x:v>wb_isabely03 </x:v>
      </x:c>
      <x:c r="B25" s="19" t="str">
        <x:v>Wave 32</x:v>
      </x:c>
      <x:c r="C25" s="19" t="str">
        <x:v>Involuntary</x:v>
      </x:c>
      <x:c r="D25" s="19" t="str">
        <x:v>3-6 Meses</x:v>
      </x:c>
      <x:c r="E25" s="36" t="n">
        <x:v>46064</x:v>
      </x:c>
      <x:c r="F25" s="36" t="n">
        <x:v>46083</x:v>
      </x:c>
      <x:c r="G25" s="20" t="str">
        <x:v>ADS</x:v>
      </x:c>
    </x:row>
    <x:row r="26">
      <x:c r="A26" s="18" t="str">
        <x:v>wb_janainab</x:v>
      </x:c>
      <x:c r="B26" s="19" t="str">
        <x:v>Wave 32</x:v>
      </x:c>
      <x:c r="C26" s="19" t="str">
        <x:v>Voluntary</x:v>
      </x:c>
      <x:c r="D26" s="19" t="str">
        <x:v>3-6 Meses</x:v>
      </x:c>
      <x:c r="E26" s="36" t="n">
        <x:v>46064</x:v>
      </x:c>
      <x:c r="F26" s="36" t="n">
        <x:v>46083</x:v>
      </x:c>
      <x:c r="G26" s="20" t="str">
        <x:v>ADS</x:v>
      </x:c>
    </x:row>
    <x:row r="27">
      <x:c r="A27" s="18" t="str">
        <x:v>wb_gabriela19</x:v>
      </x:c>
      <x:c r="B27" s="19" t="str">
        <x:v>Wave 12</x:v>
      </x:c>
      <x:c r="C27" s="19" t="str">
        <x:v>Voluntary</x:v>
      </x:c>
      <x:c r="D27" s="19" t="str">
        <x:v>+ 12 Meses</x:v>
      </x:c>
      <x:c r="E27" s="36" t="n">
        <x:v>45663</x:v>
      </x:c>
      <x:c r="F27" s="36" t="n">
        <x:v>46091</x:v>
      </x:c>
      <x:c r="G27" s="20" t="str">
        <x:v>ADS</x:v>
      </x:c>
    </x:row>
    <x:row r="28">
      <x:c r="A28" s="18" t="str">
        <x:v>wb_julio11</x:v>
      </x:c>
      <x:c r="B28" s="19" t="str">
        <x:v>Wave 24</x:v>
      </x:c>
      <x:c r="C28" s="19" t="str">
        <x:v>Involuntary</x:v>
      </x:c>
      <x:c r="D28" s="19" t="str">
        <x:v>+ 6 Meses</x:v>
      </x:c>
      <x:c r="E28" s="36" t="n">
        <x:v>45866</x:v>
      </x:c>
      <x:c r="F28" s="36" t="n">
        <x:v>46091</x:v>
      </x:c>
      <x:c r="G28" s="20" t="str">
        <x:v>ADS</x:v>
      </x:c>
    </x:row>
    <x:row r="29">
      <x:c r="A29" s="18" t="str">
        <x:v>wb_iara</x:v>
      </x:c>
      <x:c r="B29" s="19" t="str">
        <x:v>Wave 8</x:v>
      </x:c>
      <x:c r="C29" s="19" t="str">
        <x:v>Involuntary</x:v>
      </x:c>
      <x:c r="D29" s="19" t="str">
        <x:v>+ 12 Meses</x:v>
      </x:c>
      <x:c r="E29" s="36" t="n">
        <x:v>45614</x:v>
      </x:c>
      <x:c r="F29" s="36" t="n">
        <x:v>46093</x:v>
      </x:c>
      <x:c r="G29" s="20" t="str">
        <x:v>ADS</x:v>
      </x:c>
    </x:row>
    <x:row r="30">
      <x:c r="A30" s="18" t="str">
        <x:v>wb_rayssa</x:v>
      </x:c>
      <x:c r="B30" s="19" t="str">
        <x:v>Wave 1</x:v>
      </x:c>
      <x:c r="C30" s="19" t="str">
        <x:v>Voluntary</x:v>
      </x:c>
      <x:c r="D30" s="19" t="str">
        <x:v>+ 12 Meses</x:v>
      </x:c>
      <x:c r="E30" s="36" t="n">
        <x:v>45505</x:v>
      </x:c>
      <x:c r="F30" s="36" t="n">
        <x:v>46094</x:v>
      </x:c>
      <x:c r="G30" s="20" t="str">
        <x:v>ADS</x:v>
      </x:c>
    </x:row>
    <x:row r="31">
      <x:c r="A31" s="18" t="str">
        <x:v>wb_braian</x:v>
      </x:c>
      <x:c r="B31" s="19" t="str">
        <x:v>Wave 32</x:v>
      </x:c>
      <x:c r="C31" s="19" t="str">
        <x:v>Voluntary</x:v>
      </x:c>
      <x:c r="D31" s="19" t="str">
        <x:v>3-6 Meses</x:v>
      </x:c>
      <x:c r="E31" s="36" t="n">
        <x:v>46064</x:v>
      </x:c>
      <x:c r="F31" s="36" t="n">
        <x:v>46098</x:v>
      </x:c>
      <x:c r="G31" s="20" t="str">
        <x:v>ADS</x:v>
      </x:c>
    </x:row>
    <x:row r="32">
      <x:c r="A32" s="18" t="str">
        <x:v>wb_caio11</x:v>
      </x:c>
      <x:c r="B32" s="19" t="str">
        <x:v>Wave 19</x:v>
      </x:c>
      <x:c r="C32" s="19" t="str">
        <x:v>Involuntary</x:v>
      </x:c>
      <x:c r="D32" s="19" t="str">
        <x:v>+ 12 Meses</x:v>
      </x:c>
      <x:c r="E32" s="36" t="n">
        <x:v>45754</x:v>
      </x:c>
      <x:c r="F32" s="36" t="n">
        <x:v>46098</x:v>
      </x:c>
      <x:c r="G32" s="20" t="str">
        <x:v>ADS</x:v>
      </x:c>
    </x:row>
    <x:row r="33">
      <x:c r="A33" s="18" t="str">
        <x:v>wb_haile</x:v>
      </x:c>
      <x:c r="B33" s="19" t="str">
        <x:v>Wave 31</x:v>
      </x:c>
      <x:c r="C33" s="19" t="str">
        <x:v>Voluntary</x:v>
      </x:c>
      <x:c r="D33" s="19" t="str">
        <x:v>3-6 Meses</x:v>
      </x:c>
      <x:c r="E33" s="36" t="n">
        <x:v>46056</x:v>
      </x:c>
      <x:c r="F33" s="36" t="n">
        <x:v>46100</x:v>
      </x:c>
      <x:c r="G33" s="20" t="str">
        <x:v>ADS</x:v>
      </x:c>
    </x:row>
    <x:row r="34">
      <x:c r="A34" s="18" t="str">
        <x:v>wb_pedror</x:v>
      </x:c>
      <x:c r="B34" s="19" t="str">
        <x:v>Wave 31</x:v>
      </x:c>
      <x:c r="C34" s="19" t="str">
        <x:v>Voluntary</x:v>
      </x:c>
      <x:c r="D34" s="19" t="str">
        <x:v>3-6 Meses</x:v>
      </x:c>
      <x:c r="E34" s="36" t="n">
        <x:v>46056</x:v>
      </x:c>
      <x:c r="F34" s="36" t="n">
        <x:v>46111</x:v>
      </x:c>
      <x:c r="G34" s="20" t="str">
        <x:v>ADS</x:v>
      </x:c>
    </x:row>
    <x:row r="35">
      <x:c r="A35" s="18" t="str">
        <x:v>wb_vitorandrade</x:v>
      </x:c>
      <x:c r="B35" s="19" t="str">
        <x:v>Wave 34</x:v>
      </x:c>
      <x:c r="C35" s="19" t="str">
        <x:v>Voluntary</x:v>
      </x:c>
      <x:c r="D35" s="19" t="str">
        <x:v>-3 Meses</x:v>
      </x:c>
      <x:c r="E35" s="36" t="n">
        <x:v>46099</x:v>
      </x:c>
      <x:c r="F35" s="36" t="n">
        <x:v>46111</x:v>
      </x:c>
      <x:c r="G35" s="20" t="str">
        <x:v>ADS</x:v>
      </x:c>
    </x:row>
    <x:row r="36">
      <x:c r="A36" s="18" t="str">
        <x:v>wb_fabioc</x:v>
      </x:c>
      <x:c r="B36" s="19" t="str">
        <x:v>Wave 31</x:v>
      </x:c>
      <x:c r="C36" s="19" t="str">
        <x:v>Voluntary</x:v>
      </x:c>
      <x:c r="D36" s="19" t="str">
        <x:v>3-6 Meses</x:v>
      </x:c>
      <x:c r="E36" s="36" t="n">
        <x:v>46056</x:v>
      </x:c>
      <x:c r="F36" s="36" t="n">
        <x:v>46112</x:v>
      </x:c>
      <x:c r="G36" s="20" t="str">
        <x:v>ADS</x:v>
      </x:c>
    </x:row>
    <x:row r="37">
      <x:c r="A37" s="18" t="str">
        <x:v>wb_gustavo30</x:v>
      </x:c>
      <x:c r="B37" s="19" t="str">
        <x:v>Wave 13</x:v>
      </x:c>
      <x:c r="C37" s="19" t="str">
        <x:v>Involuntary</x:v>
      </x:c>
      <x:c r="D37" s="19" t="str">
        <x:v>+ 12 Meses</x:v>
      </x:c>
      <x:c r="E37" s="36" t="n">
        <x:v>45691</x:v>
      </x:c>
      <x:c r="F37" s="36" t="n">
        <x:v>46112</x:v>
      </x:c>
      <x:c r="G37" s="20" t="str">
        <x:v>ADS</x:v>
      </x:c>
    </x:row>
    <x:row r="38">
      <x:c r="A38" s="18" t="str">
        <x:v>wb_rafael27</x:v>
      </x:c>
      <x:c r="B38" s="19" t="str">
        <x:v>Wave 11</x:v>
      </x:c>
      <x:c r="C38" s="19" t="str">
        <x:v>Involuntary</x:v>
      </x:c>
      <x:c r="D38" s="19" t="str">
        <x:v>+ 12 Meses</x:v>
      </x:c>
      <x:c r="E38" s="36" t="n">
        <x:v>45642</x:v>
      </x:c>
      <x:c r="F38" s="36" t="n">
        <x:v>46112</x:v>
      </x:c>
      <x:c r="G38" s="20" t="str">
        <x:v>ADS</x:v>
      </x:c>
    </x:row>
    <x:row r="39">
      <x:c r="A39" s="18" t="str">
        <x:v>wb_daianae</x:v>
      </x:c>
      <x:c r="B39" s="19" t="str">
        <x:v>Wave 34</x:v>
      </x:c>
      <x:c r="C39" s="19" t="str">
        <x:v>Voluntary</x:v>
      </x:c>
      <x:c r="D39" s="19" t="str">
        <x:v>-3 Meses</x:v>
      </x:c>
      <x:c r="E39" s="36" t="n">
        <x:v>46099</x:v>
      </x:c>
      <x:c r="F39" s="36" t="n">
        <x:v>46118</x:v>
      </x:c>
      <x:c r="G39" s="20" t="str">
        <x:v>ADS</x:v>
      </x:c>
    </x:row>
    <x:row r="40">
      <x:c r="A40" s="18" t="str">
        <x:v>wb_luanap </x:v>
      </x:c>
      <x:c r="B40" s="19" t="str">
        <x:v>Wave 34</x:v>
      </x:c>
      <x:c r="C40" s="19" t="str">
        <x:v>Voluntary</x:v>
      </x:c>
      <x:c r="D40" s="19" t="str">
        <x:v>-3 Meses</x:v>
      </x:c>
      <x:c r="E40" s="36" t="n">
        <x:v>46099</x:v>
      </x:c>
      <x:c r="F40" s="36" t="n">
        <x:v>46118</x:v>
      </x:c>
      <x:c r="G40" s="20" t="str">
        <x:v>ADS</x:v>
      </x:c>
    </x:row>
    <x:row r="41">
      <x:c r="A41" s="18" t="str">
        <x:v>wb_lucas32</x:v>
      </x:c>
      <x:c r="B41" s="19" t="str">
        <x:v>Wave 10</x:v>
      </x:c>
      <x:c r="C41" s="19" t="str">
        <x:v>Involuntary</x:v>
      </x:c>
      <x:c r="D41" s="19" t="str">
        <x:v>+ 12 Meses</x:v>
      </x:c>
      <x:c r="E41" s="36" t="n">
        <x:v>45635</x:v>
      </x:c>
      <x:c r="F41" s="36" t="n">
        <x:v>46121</x:v>
      </x:c>
      <x:c r="G41" s="20" t="str">
        <x:v>ADS</x:v>
      </x:c>
    </x:row>
    <x:row r="42">
      <x:c r="A42" s="18" t="str">
        <x:v>wb_geovane</x:v>
      </x:c>
      <x:c r="B42" s="19" t="str">
        <x:v>Wave 19</x:v>
      </x:c>
      <x:c r="C42" s="19" t="str">
        <x:v>Involuntary</x:v>
      </x:c>
      <x:c r="D42" s="19" t="str">
        <x:v>+ 12 Meses</x:v>
      </x:c>
      <x:c r="E42" s="36" t="n">
        <x:v>45754</x:v>
      </x:c>
      <x:c r="F42" s="36" t="n">
        <x:v>46122</x:v>
      </x:c>
      <x:c r="G42" s="20" t="str">
        <x:v>ADS</x:v>
      </x:c>
    </x:row>
    <x:row r="43">
      <x:c r="A43" s="18" t="str">
        <x:v>wb_reverson</x:v>
      </x:c>
      <x:c r="B43" s="19" t="str">
        <x:v>Wave 17</x:v>
      </x:c>
      <x:c r="C43" s="19" t="str">
        <x:v>Voluntary</x:v>
      </x:c>
      <x:c r="D43" s="19" t="str">
        <x:v>+ 12 Meses</x:v>
      </x:c>
      <x:c r="E43" s="36" t="n">
        <x:v>45733</x:v>
      </x:c>
      <x:c r="F43" s="36" t="n">
        <x:v>46122</x:v>
      </x:c>
      <x:c r="G43" s="20" t="str">
        <x:v>ADS</x:v>
      </x:c>
    </x:row>
    <x:row r="44">
      <x:c r="A44" s="18" t="str">
        <x:v>wb_yuri03</x:v>
      </x:c>
      <x:c r="B44" s="19" t="str">
        <x:v>Wave 22</x:v>
      </x:c>
      <x:c r="C44" s="19" t="str">
        <x:v>Involuntary</x:v>
      </x:c>
      <x:c r="D44" s="19" t="str">
        <x:v>+ 6 Meses</x:v>
      </x:c>
      <x:c r="E44" s="36" t="n">
        <x:v>45824</x:v>
      </x:c>
      <x:c r="F44" s="36" t="n">
        <x:v>46125</x:v>
      </x:c>
      <x:c r="G44" s="20" t="str">
        <x:v>ADS</x:v>
      </x:c>
    </x:row>
    <x:row r="45">
      <x:c r="A45" s="18" t="str">
        <x:v>wb_gabrielc</x:v>
      </x:c>
      <x:c r="B45" s="19" t="str">
        <x:v>Wave 34</x:v>
      </x:c>
      <x:c r="C45" s="19" t="str">
        <x:v>Voluntary</x:v>
      </x:c>
      <x:c r="D45" s="19" t="str">
        <x:v>-3 Meses</x:v>
      </x:c>
      <x:c r="E45" s="36" t="n">
        <x:v>46099</x:v>
      </x:c>
      <x:c r="F45" s="36" t="n">
        <x:v>46134</x:v>
      </x:c>
      <x:c r="G45" s="20" t="str">
        <x:v>ADS</x:v>
      </x:c>
    </x:row>
    <x:row r="46">
      <x:c r="A46" s="18" t="str">
        <x:v>wb_saras</x:v>
      </x:c>
      <x:c r="B46" s="19" t="str">
        <x:v>Wave 33</x:v>
      </x:c>
      <x:c r="C46" s="19" t="str">
        <x:v>Involuntary</x:v>
      </x:c>
      <x:c r="D46" s="19" t="str">
        <x:v>-3 Meses</x:v>
      </x:c>
      <x:c r="E46" s="36" t="n">
        <x:v>46072</x:v>
      </x:c>
      <x:c r="F46" s="36" t="n">
        <x:v>46134</x:v>
      </x:c>
      <x:c r="G46" s="20" t="str">
        <x:v>ADS</x:v>
      </x:c>
    </x:row>
    <x:row r="47">
      <x:c r="A47" s="18" t="str">
        <x:v>wb_luana17</x:v>
      </x:c>
      <x:c r="B47" s="19" t="str">
        <x:v>Wave 8</x:v>
      </x:c>
      <x:c r="C47" s="19" t="str">
        <x:v>Voluntary</x:v>
      </x:c>
      <x:c r="D47" s="19" t="str">
        <x:v>+ 12 Meses</x:v>
      </x:c>
      <x:c r="E47" s="36" t="n">
        <x:v>45614</x:v>
      </x:c>
      <x:c r="F47" s="36" t="n">
        <x:v>46135</x:v>
      </x:c>
      <x:c r="G47" s="20" t="str">
        <x:v>ADS</x:v>
      </x:c>
    </x:row>
    <x:row r="48">
      <x:c r="A48" s="18" t="str">
        <x:v>wb_lucas37</x:v>
      </x:c>
      <x:c r="B48" s="19" t="str">
        <x:v>Wave 20</x:v>
      </x:c>
      <x:c r="C48" s="19" t="str">
        <x:v>Voluntary</x:v>
      </x:c>
      <x:c r="D48" s="19" t="str">
        <x:v>+ 12 Meses</x:v>
      </x:c>
      <x:c r="E48" s="36" t="n">
        <x:v>45782</x:v>
      </x:c>
      <x:c r="F48" s="36" t="n">
        <x:v>46135</x:v>
      </x:c>
      <x:c r="G48" s="20" t="str">
        <x:v>ADS</x:v>
      </x:c>
    </x:row>
    <x:row r="49">
      <x:c r="A49" s="18" t="str">
        <x:v>wb_paularigler</x:v>
      </x:c>
      <x:c r="B49" s="19" t="str">
        <x:v>Wave 27</x:v>
      </x:c>
      <x:c r="C49" s="19" t="str">
        <x:v>Voluntary</x:v>
      </x:c>
      <x:c r="D49" s="19" t="str">
        <x:v>+ 6 Meses</x:v>
      </x:c>
      <x:c r="E49" s="36" t="n">
        <x:v>45974</x:v>
      </x:c>
      <x:c r="F49" s="36" t="n">
        <x:v>46135</x:v>
      </x:c>
      <x:c r="G49" s="20" t="str">
        <x:v>ADS</x:v>
      </x:c>
    </x:row>
    <x:row r="50">
      <x:c r="A50" s="18" t="str">
        <x:v>wb_patrickr</x:v>
      </x:c>
      <x:c r="B50" s="19" t="str">
        <x:v>Wave 34</x:v>
      </x:c>
      <x:c r="C50" s="19" t="str">
        <x:v>Voluntary</x:v>
      </x:c>
      <x:c r="D50" s="19" t="str">
        <x:v>-3 Meses</x:v>
      </x:c>
      <x:c r="E50" s="36" t="n">
        <x:v>46099</x:v>
      </x:c>
      <x:c r="F50" s="36" t="n">
        <x:v>46154</x:v>
      </x:c>
      <x:c r="G50" s="20" t="str">
        <x:v>ADS</x:v>
      </x:c>
    </x:row>
    <x:row r="51">
      <x:c r="A51" s="18" t="str">
        <x:v>wb_isabellar</x:v>
      </x:c>
      <x:c r="B51" s="19" t="str">
        <x:v>Wave 24</x:v>
      </x:c>
      <x:c r="C51" s="19" t="str">
        <x:v>Involuntary</x:v>
      </x:c>
      <x:c r="D51" s="19" t="str">
        <x:v>+ 6 Meses</x:v>
      </x:c>
      <x:c r="E51" s="36" t="n">
        <x:v>45866</x:v>
      </x:c>
      <x:c r="F51" s="36" t="n">
        <x:v>46155</x:v>
      </x:c>
      <x:c r="G51" s="20" t="str">
        <x:v>ADS</x:v>
      </x:c>
    </x:row>
    <x:row r="52">
      <x:c r="A52" s="18" t="str">
        <x:v>wb_vitor10</x:v>
      </x:c>
      <x:c r="B52" s="19" t="str">
        <x:v>Wave 2</x:v>
      </x:c>
      <x:c r="C52" s="19" t="str">
        <x:v>Voluntary</x:v>
      </x:c>
      <x:c r="D52" s="19" t="str">
        <x:v>+ 6 Meses</x:v>
      </x:c>
      <x:c r="E52" s="36" t="n">
        <x:v>45924</x:v>
      </x:c>
      <x:c r="F52" s="36" t="n">
        <x:v>46024</x:v>
      </x:c>
      <x:c r="G52" s="20" t="str">
        <x:v>CEC</x:v>
      </x:c>
    </x:row>
    <x:row r="53">
      <x:c r="A53" s="18" t="str">
        <x:v>wb_ingrid08</x:v>
      </x:c>
      <x:c r="B53" s="19" t="str">
        <x:v>Wave 2</x:v>
      </x:c>
      <x:c r="C53" s="19" t="str">
        <x:v>Voluntary</x:v>
      </x:c>
      <x:c r="D53" s="19" t="str">
        <x:v>+ 6 Meses</x:v>
      </x:c>
      <x:c r="E53" s="36" t="n">
        <x:v>45922</x:v>
      </x:c>
      <x:c r="F53" s="36" t="n">
        <x:v>46027</x:v>
      </x:c>
      <x:c r="G53" s="20" t="str">
        <x:v>CEC</x:v>
      </x:c>
    </x:row>
    <x:row r="54">
      <x:c r="A54" s="18" t="str">
        <x:v>wb_cristiane09</x:v>
      </x:c>
      <x:c r="B54" s="19" t="str">
        <x:v>Wave 1</x:v>
      </x:c>
      <x:c r="C54" s="19" t="str">
        <x:v>Involuntary</x:v>
      </x:c>
      <x:c r="D54" s="19" t="str">
        <x:v>+ 6 Meses</x:v>
      </x:c>
      <x:c r="E54" s="36" t="n">
        <x:v>45895</x:v>
      </x:c>
      <x:c r="F54" s="36" t="n">
        <x:v>46028</x:v>
      </x:c>
      <x:c r="G54" s="20" t="str">
        <x:v>CEC</x:v>
      </x:c>
    </x:row>
    <x:row r="55">
      <x:c r="A55" s="18" t="str">
        <x:v>wb_camila22</x:v>
      </x:c>
      <x:c r="B55" s="19" t="str">
        <x:v>Wave 4</x:v>
      </x:c>
      <x:c r="C55" s="19" t="str">
        <x:v>Voluntary</x:v>
      </x:c>
      <x:c r="D55" s="19" t="str">
        <x:v>3-6 Meses</x:v>
      </x:c>
      <x:c r="E55" s="36" t="n">
        <x:v>45982</x:v>
      </x:c>
      <x:c r="F55" s="36" t="n">
        <x:v>46031</x:v>
      </x:c>
      <x:c r="G55" s="20" t="str">
        <x:v>CEC</x:v>
      </x:c>
    </x:row>
    <x:row r="56">
      <x:c r="A56" s="18" t="str">
        <x:v>wb_tayna05</x:v>
      </x:c>
      <x:c r="B56" s="19" t="str">
        <x:v>Wave 4</x:v>
      </x:c>
      <x:c r="C56" s="19" t="str">
        <x:v>Voluntary</x:v>
      </x:c>
      <x:c r="D56" s="19" t="str">
        <x:v>3-6 Meses</x:v>
      </x:c>
      <x:c r="E56" s="36" t="n">
        <x:v>45982</x:v>
      </x:c>
      <x:c r="F56" s="36" t="n">
        <x:v>46031</x:v>
      </x:c>
      <x:c r="G56" s="20" t="str">
        <x:v>CEC</x:v>
      </x:c>
    </x:row>
    <x:row r="57">
      <x:c r="A57" s="18" t="str">
        <x:v>wb_kevin10</x:v>
      </x:c>
      <x:c r="B57" s="19" t="str">
        <x:v>Wave 1</x:v>
      </x:c>
      <x:c r="C57" s="19" t="str">
        <x:v>Involuntary</x:v>
      </x:c>
      <x:c r="D57" s="19" t="str">
        <x:v>+ 6 Meses</x:v>
      </x:c>
      <x:c r="E57" s="36" t="n">
        <x:v>45901</x:v>
      </x:c>
      <x:c r="F57" s="36" t="n">
        <x:v>46050</x:v>
      </x:c>
      <x:c r="G57" s="20" t="str">
        <x:v>CEC</x:v>
      </x:c>
    </x:row>
    <x:row r="58">
      <x:c r="A58" s="18" t="str">
        <x:v>wb_aline16</x:v>
      </x:c>
      <x:c r="B58" s="19" t="str">
        <x:v>Wave 4</x:v>
      </x:c>
      <x:c r="C58" s="19" t="str">
        <x:v>Voluntary</x:v>
      </x:c>
      <x:c r="D58" s="19" t="str">
        <x:v>3-6 Meses</x:v>
      </x:c>
      <x:c r="E58" s="36" t="n">
        <x:v>45982</x:v>
      </x:c>
      <x:c r="F58" s="36" t="n">
        <x:v>46056</x:v>
      </x:c>
      <x:c r="G58" s="20" t="str">
        <x:v>CEC</x:v>
      </x:c>
    </x:row>
    <x:row r="59">
      <x:c r="A59" s="18" t="str">
        <x:v>wb_nadine06</x:v>
      </x:c>
      <x:c r="B59" s="19" t="str">
        <x:v>Wave 2</x:v>
      </x:c>
      <x:c r="C59" s="19" t="str">
        <x:v>Voluntary</x:v>
      </x:c>
      <x:c r="D59" s="19" t="str">
        <x:v>+ 6 Meses</x:v>
      </x:c>
      <x:c r="E59" s="36" t="n">
        <x:v>45923</x:v>
      </x:c>
      <x:c r="F59" s="36" t="n">
        <x:v>46058</x:v>
      </x:c>
      <x:c r="G59" s="20" t="str">
        <x:v>CEC</x:v>
      </x:c>
    </x:row>
    <x:row r="60">
      <x:c r="A60" s="18" t="str">
        <x:v>wb_andre19</x:v>
      </x:c>
      <x:c r="B60" s="19" t="str">
        <x:v>Wave 4</x:v>
      </x:c>
      <x:c r="C60" s="19" t="str">
        <x:v>Involuntary</x:v>
      </x:c>
      <x:c r="D60" s="19" t="str">
        <x:v>3-6 Meses</x:v>
      </x:c>
      <x:c r="E60" s="36" t="n">
        <x:v>45982</x:v>
      </x:c>
      <x:c r="F60" s="36" t="n">
        <x:v>46064</x:v>
      </x:c>
      <x:c r="G60" s="20" t="str">
        <x:v>CEC</x:v>
      </x:c>
    </x:row>
    <x:row r="61">
      <x:c r="A61" s="18" t="str">
        <x:v>wb_pedro22</x:v>
      </x:c>
      <x:c r="B61" s="19" t="str">
        <x:v>Wave 1</x:v>
      </x:c>
      <x:c r="C61" s="19" t="str">
        <x:v>Voluntary</x:v>
      </x:c>
      <x:c r="D61" s="19" t="str">
        <x:v>+ 6 Meses</x:v>
      </x:c>
      <x:c r="E61" s="36" t="n">
        <x:v>45905</x:v>
      </x:c>
      <x:c r="F61" s="36" t="n">
        <x:v>46064</x:v>
      </x:c>
      <x:c r="G61" s="20" t="str">
        <x:v>CEC</x:v>
      </x:c>
    </x:row>
    <x:row r="62">
      <x:c r="A62" s="18" t="str">
        <x:v>wb_luan07</x:v>
      </x:c>
      <x:c r="B62" s="19" t="str">
        <x:v>Wave 1</x:v>
      </x:c>
      <x:c r="C62" s="19" t="str">
        <x:v>Involuntary</x:v>
      </x:c>
      <x:c r="D62" s="19" t="str">
        <x:v>+ 6 Meses</x:v>
      </x:c>
      <x:c r="E62" s="36" t="n">
        <x:v>45901</x:v>
      </x:c>
      <x:c r="F62" s="36" t="n">
        <x:v>46073</x:v>
      </x:c>
      <x:c r="G62" s="20" t="str">
        <x:v>CEC</x:v>
      </x:c>
    </x:row>
    <x:row r="63">
      <x:c r="A63" s="18" t="str">
        <x:v>wb_mayara07</x:v>
      </x:c>
      <x:c r="B63" s="19" t="str">
        <x:v>Wave 1</x:v>
      </x:c>
      <x:c r="C63" s="19" t="str">
        <x:v>Involuntary</x:v>
      </x:c>
      <x:c r="D63" s="19" t="str">
        <x:v>+ 6 Meses</x:v>
      </x:c>
      <x:c r="E63" s="36" t="n">
        <x:v>45901</x:v>
      </x:c>
      <x:c r="F63" s="36" t="n">
        <x:v>46084</x:v>
      </x:c>
      <x:c r="G63" s="20" t="str">
        <x:v>CEC</x:v>
      </x:c>
    </x:row>
    <x:row r="64">
      <x:c r="A64" s="18" t="str">
        <x:v>wb_kaio05</x:v>
      </x:c>
      <x:c r="B64" s="19" t="str">
        <x:v>Wave 4</x:v>
      </x:c>
      <x:c r="C64" s="19" t="str">
        <x:v>Involuntary</x:v>
      </x:c>
      <x:c r="D64" s="19" t="str">
        <x:v>3-6 Meses</x:v>
      </x:c>
      <x:c r="E64" s="36" t="n">
        <x:v>45982</x:v>
      </x:c>
      <x:c r="F64" s="36" t="n">
        <x:v>46104</x:v>
      </x:c>
      <x:c r="G64" s="20" t="str">
        <x:v>CEC</x:v>
      </x:c>
    </x:row>
    <x:row r="65">
      <x:c r="A65" s="18" t="str">
        <x:v>wb_pedro24</x:v>
      </x:c>
      <x:c r="B65" s="19" t="str">
        <x:v>Wave 7</x:v>
      </x:c>
      <x:c r="C65" s="19" t="str">
        <x:v>Voluntary</x:v>
      </x:c>
      <x:c r="D65" s="19" t="str">
        <x:v>-3 Meses</x:v>
      </x:c>
      <x:c r="E65" s="36" t="n">
        <x:v>46084</x:v>
      </x:c>
      <x:c r="F65" s="36" t="n">
        <x:v>46104</x:v>
      </x:c>
      <x:c r="G65" s="20" t="str">
        <x:v>CEC</x:v>
      </x:c>
    </x:row>
    <x:row r="66">
      <x:c r="A66" s="18" t="str">
        <x:v>wb_larissa15</x:v>
      </x:c>
      <x:c r="B66" s="19" t="str">
        <x:v>Wave 6</x:v>
      </x:c>
      <x:c r="C66" s="19" t="str">
        <x:v>Involuntary</x:v>
      </x:c>
      <x:c r="D66" s="19" t="str">
        <x:v>3-6 Meses</x:v>
      </x:c>
      <x:c r="E66" s="36" t="n">
        <x:v>46048</x:v>
      </x:c>
      <x:c r="F66" s="36" t="n">
        <x:v>46112</x:v>
      </x:c>
      <x:c r="G66" s="20" t="str">
        <x:v>CEC</x:v>
      </x:c>
    </x:row>
    <x:row r="67">
      <x:c r="A67" s="18" t="str">
        <x:v>wb_italo05</x:v>
      </x:c>
      <x:c r="B67" s="19" t="str">
        <x:v>Wave 7</x:v>
      </x:c>
      <x:c r="C67" s="19" t="str">
        <x:v>Involuntary</x:v>
      </x:c>
      <x:c r="D67" s="19" t="str">
        <x:v>-3 Meses</x:v>
      </x:c>
      <x:c r="E67" s="36" t="n">
        <x:v>46084</x:v>
      </x:c>
      <x:c r="F67" s="36" t="n">
        <x:v>46118</x:v>
      </x:c>
      <x:c r="G67" s="20" t="str">
        <x:v>CEC</x:v>
      </x:c>
    </x:row>
    <x:row r="68">
      <x:c r="A68" s="18" t="str">
        <x:v>wb_reginaldo03</x:v>
      </x:c>
      <x:c r="B68" s="19" t="str">
        <x:v>Wave 1</x:v>
      </x:c>
      <x:c r="C68" s="19" t="str">
        <x:v>Voluntary</x:v>
      </x:c>
      <x:c r="D68" s="19" t="str">
        <x:v>+ 6 Meses</x:v>
      </x:c>
      <x:c r="E68" s="36" t="n">
        <x:v>45901</x:v>
      </x:c>
      <x:c r="F68" s="36" t="n">
        <x:v>46118</x:v>
      </x:c>
      <x:c r="G68" s="20" t="str">
        <x:v>CEC</x:v>
      </x:c>
    </x:row>
    <x:row r="69">
      <x:c r="A69" s="18" t="str">
        <x:v>wb_iasmin</x:v>
      </x:c>
      <x:c r="B69" s="19" t="str">
        <x:v>Wave 7</x:v>
      </x:c>
      <x:c r="C69" s="19" t="str">
        <x:v>Involuntary</x:v>
      </x:c>
      <x:c r="D69" s="19" t="str">
        <x:v>-3 Meses</x:v>
      </x:c>
      <x:c r="E69" s="36" t="n">
        <x:v>46084</x:v>
      </x:c>
      <x:c r="F69" s="36" t="n">
        <x:v>46119</x:v>
      </x:c>
      <x:c r="G69" s="20" t="str">
        <x:v>CEC</x:v>
      </x:c>
    </x:row>
    <x:row r="70">
      <x:c r="A70" s="18" t="str">
        <x:v>wb_clebson</x:v>
      </x:c>
      <x:c r="B70" s="19" t="str">
        <x:v>Wave 1</x:v>
      </x:c>
      <x:c r="C70" s="19" t="str">
        <x:v>Involuntary</x:v>
      </x:c>
      <x:c r="D70" s="19" t="str">
        <x:v>+ 6 Meses</x:v>
      </x:c>
      <x:c r="E70" s="36" t="n">
        <x:v>45897</x:v>
      </x:c>
      <x:c r="F70" s="36" t="n">
        <x:v>46140</x:v>
      </x:c>
      <x:c r="G70" s="20" t="str">
        <x:v>CEC</x:v>
      </x:c>
    </x:row>
    <x:row r="71">
      <x:c r="A71" s="18" t="str">
        <x:v>wb_matheus39</x:v>
      </x:c>
      <x:c r="B71" s="19" t="str">
        <x:v>Wave 5</x:v>
      </x:c>
      <x:c r="C71" s="19" t="str">
        <x:v>Voluntary</x:v>
      </x:c>
      <x:c r="D71" s="19" t="str">
        <x:v>3-6 Meses</x:v>
      </x:c>
      <x:c r="E71" s="36" t="n">
        <x:v>46027</x:v>
      </x:c>
      <x:c r="F71" s="36" t="n">
        <x:v>46148</x:v>
      </x:c>
      <x:c r="G71" s="20" t="str">
        <x:v>CEC</x:v>
      </x:c>
    </x:row>
    <x:row r="72">
      <x:c r="A72" s="18" t="str">
        <x:v>wb_jennifer08</x:v>
      </x:c>
      <x:c r="B72" s="19" t="str">
        <x:v>Wave 1</x:v>
      </x:c>
      <x:c r="C72" s="19" t="str">
        <x:v>Voluntary</x:v>
      </x:c>
      <x:c r="D72" s="19" t="str">
        <x:v>+ 6 Meses</x:v>
      </x:c>
      <x:c r="E72" s="36" t="n">
        <x:v>45877</x:v>
      </x:c>
      <x:c r="F72" s="36" t="n">
        <x:v>46075</x:v>
      </x:c>
      <x:c r="G72" s="20" t="str">
        <x:v>Comments</x:v>
      </x:c>
    </x:row>
    <x:row r="73">
      <x:c r="A73" s="18" t="str">
        <x:v>wb_leonara</x:v>
      </x:c>
      <x:c r="B73" s="19" t="str">
        <x:v>Wave 3</x:v>
      </x:c>
      <x:c r="C73" s="19" t="str">
        <x:v>Involuntary</x:v>
      </x:c>
      <x:c r="D73" s="19" t="str">
        <x:v>+ 6 Meses</x:v>
      </x:c>
      <x:c r="E73" s="36" t="n">
        <x:v>45945</x:v>
      </x:c>
      <x:c r="F73" s="36" t="n">
        <x:v>46143</x:v>
      </x:c>
      <x:c r="G73" s="20" t="str">
        <x:v>Comments</x:v>
      </x:c>
    </x:row>
    <x:row r="74">
      <x:c r="A74" s="18" t="str">
        <x:v>wb_natanael03</x:v>
      </x:c>
      <x:c r="B74" s="19" t="str">
        <x:v>Wave 1</x:v>
      </x:c>
      <x:c r="C74" s="19" t="str">
        <x:v>Involuntary</x:v>
      </x:c>
      <x:c r="D74" s="19" t="str">
        <x:v>+ 6 Meses</x:v>
      </x:c>
      <x:c r="E74" s="36" t="n">
        <x:v>45873</x:v>
      </x:c>
      <x:c r="F74" s="36" t="n">
        <x:v>46034</x:v>
      </x:c>
      <x:c r="G74" s="20" t="str">
        <x:v>Video</x:v>
      </x:c>
    </x:row>
    <x:row r="75">
      <x:c r="A75" s="18" t="str">
        <x:v>wb_liliane06</x:v>
      </x:c>
      <x:c r="B75" s="19" t="str">
        <x:v>Wave 3</x:v>
      </x:c>
      <x:c r="C75" s="19" t="str">
        <x:v>Voluntary</x:v>
      </x:c>
      <x:c r="D75" s="19" t="str">
        <x:v>+ 6 Meses</x:v>
      </x:c>
      <x:c r="E75" s="36" t="n">
        <x:v>45945</x:v>
      </x:c>
      <x:c r="F75" s="36" t="n">
        <x:v>46035</x:v>
      </x:c>
      <x:c r="G75" s="20" t="str">
        <x:v>Video</x:v>
      </x:c>
    </x:row>
    <x:row r="76">
      <x:c r="A76" s="18" t="str">
        <x:v>wb_thamires07</x:v>
      </x:c>
      <x:c r="B76" s="19" t="str">
        <x:v>Wave 5</x:v>
      </x:c>
      <x:c r="C76" s="19" t="str">
        <x:v>Involuntary</x:v>
      </x:c>
      <x:c r="D76" s="19" t="str">
        <x:v>3-6 Meses</x:v>
      </x:c>
      <x:c r="E76" s="36" t="n">
        <x:v>46006</x:v>
      </x:c>
      <x:c r="F76" s="36" t="n">
        <x:v>46035</x:v>
      </x:c>
      <x:c r="G76" s="20" t="str">
        <x:v>Video</x:v>
      </x:c>
    </x:row>
    <x:row r="77">
      <x:c r="A77" s="18" t="str">
        <x:v>wb_lucas49</x:v>
      </x:c>
      <x:c r="B77" s="19" t="str">
        <x:v>Wave 2</x:v>
      </x:c>
      <x:c r="C77" s="19" t="str">
        <x:v>Voluntary</x:v>
      </x:c>
      <x:c r="D77" s="19" t="str">
        <x:v>+ 6 Meses</x:v>
      </x:c>
      <x:c r="E77" s="36" t="n">
        <x:v>45894</x:v>
      </x:c>
      <x:c r="F77" s="36" t="n">
        <x:v>46042</x:v>
      </x:c>
      <x:c r="G77" s="20" t="str">
        <x:v>Video</x:v>
      </x:c>
    </x:row>
    <x:row r="78">
      <x:c r="A78" s="18" t="str">
        <x:v>wb_lucasf</x:v>
      </x:c>
      <x:c r="B78" s="19" t="str">
        <x:v>Wave 5</x:v>
      </x:c>
      <x:c r="C78" s="19" t="str">
        <x:v>Voluntary</x:v>
      </x:c>
      <x:c r="D78" s="19" t="str">
        <x:v>3-6 Meses</x:v>
      </x:c>
      <x:c r="E78" s="36" t="n">
        <x:v>46035</x:v>
      </x:c>
      <x:c r="F78" s="36" t="n">
        <x:v>46049</x:v>
      </x:c>
      <x:c r="G78" s="20" t="str">
        <x:v>Video</x:v>
      </x:c>
    </x:row>
    <x:row r="79">
      <x:c r="A79" s="18" t="str">
        <x:v>wb_paula15</x:v>
      </x:c>
      <x:c r="B79" s="19" t="str">
        <x:v>Wave 1</x:v>
      </x:c>
      <x:c r="C79" s="19" t="str">
        <x:v>Involuntary</x:v>
      </x:c>
      <x:c r="D79" s="19" t="str">
        <x:v>+ 6 Meses</x:v>
      </x:c>
      <x:c r="E79" s="36" t="n">
        <x:v>45873</x:v>
      </x:c>
      <x:c r="F79" s="36" t="n">
        <x:v>46058</x:v>
      </x:c>
      <x:c r="G79" s="20" t="str">
        <x:v>Video</x:v>
      </x:c>
    </x:row>
    <x:row r="80">
      <x:c r="A80" s="18" t="str">
        <x:v>wb_pietra</x:v>
      </x:c>
      <x:c r="B80" s="19" t="str">
        <x:v>Wave 1</x:v>
      </x:c>
      <x:c r="C80" s="19" t="str">
        <x:v>Involuntary</x:v>
      </x:c>
      <x:c r="D80" s="19" t="str">
        <x:v>+ 6 Meses</x:v>
      </x:c>
      <x:c r="E80" s="36" t="n">
        <x:v>45873</x:v>
      </x:c>
      <x:c r="F80" s="36" t="n">
        <x:v>46058</x:v>
      </x:c>
      <x:c r="G80" s="20" t="str">
        <x:v>Video</x:v>
      </x:c>
    </x:row>
    <x:row r="81">
      <x:c r="A81" s="18" t="str">
        <x:v>wb_felipem03</x:v>
      </x:c>
      <x:c r="B81" s="19" t="str">
        <x:v>Wave 5</x:v>
      </x:c>
      <x:c r="C81" s="19" t="str">
        <x:v>Voluntary</x:v>
      </x:c>
      <x:c r="D81" s="19" t="str">
        <x:v>3-6 Meses</x:v>
      </x:c>
      <x:c r="E81" s="36" t="n">
        <x:v>46006</x:v>
      </x:c>
      <x:c r="F81" s="36" t="n">
        <x:v>46062</x:v>
      </x:c>
      <x:c r="G81" s="20" t="str">
        <x:v>Video</x:v>
      </x:c>
    </x:row>
    <x:row r="82">
      <x:c r="A82" s="18" t="str">
        <x:v>wb_bruno28</x:v>
      </x:c>
      <x:c r="B82" s="19" t="str">
        <x:v>Wave 2</x:v>
      </x:c>
      <x:c r="C82" s="19" t="str">
        <x:v>Voluntary</x:v>
      </x:c>
      <x:c r="D82" s="19" t="str">
        <x:v>+ 6 Meses</x:v>
      </x:c>
      <x:c r="E82" s="36" t="n">
        <x:v>45895</x:v>
      </x:c>
      <x:c r="F82" s="36" t="n">
        <x:v>46072</x:v>
      </x:c>
      <x:c r="G82" s="20" t="str">
        <x:v>Video</x:v>
      </x:c>
    </x:row>
    <x:row r="83">
      <x:c r="A83" s="18" t="str">
        <x:v>wb_gustavo31</x:v>
      </x:c>
      <x:c r="B83" s="19" t="str">
        <x:v>Wave 2</x:v>
      </x:c>
      <x:c r="C83" s="19" t="str">
        <x:v>Voluntary</x:v>
      </x:c>
      <x:c r="D83" s="19" t="str">
        <x:v>+ 6 Meses</x:v>
      </x:c>
      <x:c r="E83" s="36" t="n">
        <x:v>45897</x:v>
      </x:c>
      <x:c r="F83" s="36" t="n">
        <x:v>46072</x:v>
      </x:c>
      <x:c r="G83" s="20" t="str">
        <x:v>Video</x:v>
      </x:c>
    </x:row>
    <x:row r="84">
      <x:c r="A84" s="18" t="str">
        <x:v>wb_emmanuel03</x:v>
      </x:c>
      <x:c r="B84" s="19" t="str">
        <x:v>Wave 2</x:v>
      </x:c>
      <x:c r="C84" s="19" t="str">
        <x:v>Involuntary</x:v>
      </x:c>
      <x:c r="D84" s="19" t="str">
        <x:v>+ 6 Meses</x:v>
      </x:c>
      <x:c r="E84" s="36" t="n">
        <x:v>45895</x:v>
      </x:c>
      <x:c r="F84" s="36" t="n">
        <x:v>46073</x:v>
      </x:c>
      <x:c r="G84" s="20" t="str">
        <x:v>Video</x:v>
      </x:c>
    </x:row>
    <x:row r="85">
      <x:c r="A85" s="18" t="str">
        <x:v>wb_andrew06</x:v>
      </x:c>
      <x:c r="B85" s="19" t="str">
        <x:v>Wave 3</x:v>
      </x:c>
      <x:c r="C85" s="19" t="str">
        <x:v>Involuntary</x:v>
      </x:c>
      <x:c r="D85" s="19" t="str">
        <x:v>+ 6 Meses</x:v>
      </x:c>
      <x:c r="E85" s="36" t="n">
        <x:v>45945</x:v>
      </x:c>
      <x:c r="F85" s="36" t="n">
        <x:v>46084</x:v>
      </x:c>
      <x:c r="G85" s="20" t="str">
        <x:v>Video</x:v>
      </x:c>
    </x:row>
    <x:row r="86">
      <x:c r="A86" s="18" t="str">
        <x:v>wb_nadini</x:v>
      </x:c>
      <x:c r="B86" s="19" t="str">
        <x:v>Wave 3</x:v>
      </x:c>
      <x:c r="C86" s="19" t="str">
        <x:v>Involuntary</x:v>
      </x:c>
      <x:c r="D86" s="19" t="str">
        <x:v>+ 6 Meses</x:v>
      </x:c>
      <x:c r="E86" s="36" t="n">
        <x:v>45945</x:v>
      </x:c>
      <x:c r="F86" s="36" t="n">
        <x:v>46084</x:v>
      </x:c>
      <x:c r="G86" s="20" t="str">
        <x:v>Video</x:v>
      </x:c>
    </x:row>
    <x:row r="87">
      <x:c r="A87" s="18" t="str">
        <x:v>wb_douglasf</x:v>
      </x:c>
      <x:c r="B87" s="19" t="str">
        <x:v>Wave 7</x:v>
      </x:c>
      <x:c r="C87" s="19" t="str">
        <x:v>Voluntary</x:v>
      </x:c>
      <x:c r="D87" s="19" t="str">
        <x:v>-3 Meses</x:v>
      </x:c>
      <x:c r="E87" s="36" t="n">
        <x:v>46075</x:v>
      </x:c>
      <x:c r="F87" s="36" t="n">
        <x:v>46098</x:v>
      </x:c>
      <x:c r="G87" s="20" t="str">
        <x:v>Video</x:v>
      </x:c>
    </x:row>
    <x:row r="88">
      <x:c r="A88" s="18" t="str">
        <x:v>wb_pedrohenriquer</x:v>
      </x:c>
      <x:c r="B88" s="19" t="str">
        <x:v>Wave 6</x:v>
      </x:c>
      <x:c r="C88" s="19" t="str">
        <x:v>Voluntary</x:v>
      </x:c>
      <x:c r="D88" s="19" t="str">
        <x:v>3-6 Meses</x:v>
      </x:c>
      <x:c r="E88" s="36" t="n">
        <x:v>46044</x:v>
      </x:c>
      <x:c r="F88" s="36" t="n">
        <x:v>46105</x:v>
      </x:c>
      <x:c r="G88" s="20" t="str">
        <x:v>Video</x:v>
      </x:c>
    </x:row>
    <x:row r="89">
      <x:c r="A89" s="18" t="str">
        <x:v>wb_thiago15</x:v>
      </x:c>
      <x:c r="B89" s="19" t="str">
        <x:v>Wave 3</x:v>
      </x:c>
      <x:c r="C89" s="19" t="str">
        <x:v>Voluntary</x:v>
      </x:c>
      <x:c r="D89" s="19" t="str">
        <x:v>+ 6 Meses</x:v>
      </x:c>
      <x:c r="E89" s="36" t="n">
        <x:v>45945</x:v>
      </x:c>
      <x:c r="F89" s="36" t="n">
        <x:v>46114</x:v>
      </x:c>
      <x:c r="G89" s="20" t="str">
        <x:v>Video</x:v>
      </x:c>
    </x:row>
    <x:row r="90">
      <x:c r="A90" s="18" t="str">
        <x:v>wb_paulo10</x:v>
      </x:c>
      <x:c r="B90" s="19" t="str">
        <x:v>Wave 1</x:v>
      </x:c>
      <x:c r="C90" s="19" t="str">
        <x:v>Voluntary</x:v>
      </x:c>
      <x:c r="D90" s="19" t="str">
        <x:v>+ 6 Meses</x:v>
      </x:c>
      <x:c r="E90" s="36" t="n">
        <x:v>45873</x:v>
      </x:c>
      <x:c r="F90" s="36" t="n">
        <x:v>46119</x:v>
      </x:c>
      <x:c r="G90" s="20" t="str">
        <x:v>Video</x:v>
      </x:c>
    </x:row>
    <x:row r="91">
      <x:c r="A91" s="18" t="str">
        <x:v>wb_geovanas</x:v>
      </x:c>
      <x:c r="B91" s="19" t="str">
        <x:v>Wave 8</x:v>
      </x:c>
      <x:c r="C91" s="19" t="str">
        <x:v>Involuntary</x:v>
      </x:c>
      <x:c r="D91" s="19" t="str">
        <x:v>-3 Meses</x:v>
      </x:c>
      <x:c r="E91" s="36" t="n">
        <x:v>46091</x:v>
      </x:c>
      <x:c r="F91" s="36" t="n">
        <x:v>46126</x:v>
      </x:c>
      <x:c r="G91" s="20" t="str">
        <x:v>Video</x:v>
      </x:c>
    </x:row>
    <x:row r="92">
      <x:c r="A92" s="21" t="str">
        <x:v>wb_gabrielr</x:v>
      </x:c>
      <x:c r="B92" s="22" t="str">
        <x:v>Wave 9</x:v>
      </x:c>
      <x:c r="C92" s="22" t="str">
        <x:v>Voluntary</x:v>
      </x:c>
      <x:c r="D92" s="22" t="str">
        <x:v>-3 Meses</x:v>
      </x:c>
      <x:c r="E92" s="58" t="n">
        <x:v>46099</x:v>
      </x:c>
      <x:c r="F92" s="58" t="n">
        <x:v>46146</x:v>
      </x:c>
      <x:c r="G92" s="23" t="str">
        <x:v>Video</x:v>
      </x:c>
    </x:row>
  </x:sheetData>
  <x:mergeCells>
    <x:mergeCell ref="A1:G1"/>
  </x:mergeCells>
  <x:pageMargins left="0.7" right="0.7" top="0.75" bottom="0.75" header="0.3" footer="0.3"/>
</x:worksheet>
</file>